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li/gongzhi/"/>
    </mc:Choice>
  </mc:AlternateContent>
  <xr:revisionPtr revIDLastSave="0" documentId="13_ncr:1_{DF6BB213-668E-5F42-94BB-AB9D08FCB9E5}" xr6:coauthVersionLast="47" xr6:coauthVersionMax="47" xr10:uidLastSave="{00000000-0000-0000-0000-000000000000}"/>
  <bookViews>
    <workbookView xWindow="0" yWindow="680" windowWidth="30240" windowHeight="17440" xr2:uid="{5B3F34A4-B572-7146-81D1-4987CF57ACA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72" i="1" l="1"/>
  <c r="M72" i="1" s="1"/>
  <c r="AG72" i="1"/>
  <c r="AH72" i="1" s="1"/>
  <c r="AD72" i="1"/>
  <c r="D72" i="1" s="1"/>
  <c r="T72" i="1"/>
  <c r="S72" i="1"/>
  <c r="R72" i="1"/>
  <c r="O72" i="1"/>
  <c r="J72" i="1"/>
  <c r="H72" i="1"/>
  <c r="G72" i="1"/>
  <c r="C72" i="1"/>
  <c r="B72" i="1"/>
  <c r="BF54" i="1"/>
  <c r="BC54" i="1"/>
  <c r="AX54" i="1"/>
  <c r="AJ44" i="1"/>
  <c r="AK44" i="1" s="1"/>
  <c r="AG44" i="1"/>
  <c r="AH44" i="1" s="1"/>
  <c r="AD44" i="1"/>
  <c r="AE44" i="1" s="1"/>
  <c r="M44" i="1"/>
  <c r="L44" i="1"/>
  <c r="K44" i="1"/>
  <c r="J44" i="1"/>
  <c r="I44" i="1"/>
  <c r="H44" i="1"/>
  <c r="G44" i="1"/>
  <c r="F44" i="1"/>
  <c r="AJ43" i="1"/>
  <c r="AK43" i="1" s="1"/>
  <c r="AG43" i="1"/>
  <c r="AH43" i="1" s="1"/>
  <c r="AD43" i="1"/>
  <c r="B43" i="1" s="1"/>
  <c r="N43" i="1"/>
  <c r="M43" i="1"/>
  <c r="L43" i="1"/>
  <c r="K43" i="1"/>
  <c r="J43" i="1"/>
  <c r="I43" i="1"/>
  <c r="H43" i="1"/>
  <c r="G43" i="1"/>
  <c r="F43" i="1"/>
  <c r="AJ42" i="1"/>
  <c r="AK42" i="1" s="1"/>
  <c r="AG42" i="1"/>
  <c r="AH42" i="1" s="1"/>
  <c r="AD42" i="1"/>
  <c r="AE42" i="1" s="1"/>
  <c r="X42" i="1"/>
  <c r="W42" i="1"/>
  <c r="V42" i="1"/>
  <c r="U42" i="1"/>
  <c r="T42" i="1"/>
  <c r="N42" i="1"/>
  <c r="M42" i="1"/>
  <c r="L42" i="1"/>
  <c r="K42" i="1"/>
  <c r="J42" i="1"/>
  <c r="I42" i="1"/>
  <c r="H42" i="1"/>
  <c r="G42" i="1"/>
  <c r="F42" i="1"/>
  <c r="AJ41" i="1"/>
  <c r="AK41" i="1" s="1"/>
  <c r="AG41" i="1"/>
  <c r="AH41" i="1" s="1"/>
  <c r="AD41" i="1"/>
  <c r="AE41" i="1" s="1"/>
  <c r="X41" i="1"/>
  <c r="W41" i="1"/>
  <c r="V41" i="1"/>
  <c r="U41" i="1"/>
  <c r="T41" i="1"/>
  <c r="J41" i="1"/>
  <c r="I41" i="1"/>
  <c r="H41" i="1"/>
  <c r="F41" i="1"/>
  <c r="D41" i="1"/>
  <c r="C41" i="1"/>
  <c r="B41" i="1"/>
  <c r="AJ35" i="1"/>
  <c r="AK35" i="1" s="1"/>
  <c r="AG35" i="1"/>
  <c r="AH35" i="1" s="1"/>
  <c r="AD35" i="1"/>
  <c r="AE35" i="1" s="1"/>
  <c r="AB35" i="1"/>
  <c r="AJ34" i="1"/>
  <c r="M34" i="1" s="1"/>
  <c r="AG34" i="1"/>
  <c r="AH34" i="1" s="1"/>
  <c r="AD34" i="1"/>
  <c r="AE34" i="1" s="1"/>
  <c r="AK33" i="1"/>
  <c r="AJ33" i="1"/>
  <c r="M33" i="1" s="1"/>
  <c r="AG33" i="1"/>
  <c r="AH33" i="1" s="1"/>
  <c r="AD33" i="1"/>
  <c r="AE33" i="1" s="1"/>
  <c r="K33" i="1"/>
  <c r="H33" i="1"/>
  <c r="BH32" i="1"/>
  <c r="AJ32" i="1"/>
  <c r="J32" i="1" s="1"/>
  <c r="AG32" i="1"/>
  <c r="H32" i="1" s="1"/>
  <c r="AD32" i="1"/>
  <c r="AE32" i="1" s="1"/>
  <c r="K32" i="1"/>
  <c r="BE31" i="1"/>
  <c r="AZ31" i="1"/>
  <c r="AJ31" i="1"/>
  <c r="AK31" i="1" s="1"/>
  <c r="AG31" i="1"/>
  <c r="G31" i="1" s="1"/>
  <c r="AD31" i="1"/>
  <c r="AE31" i="1" s="1"/>
  <c r="V31" i="1"/>
  <c r="T31" i="1"/>
  <c r="P31" i="1"/>
  <c r="O31" i="1"/>
  <c r="K31" i="1"/>
  <c r="F31" i="1"/>
  <c r="D31" i="1"/>
  <c r="AJ30" i="1"/>
  <c r="K30" i="1" s="1"/>
  <c r="AG30" i="1"/>
  <c r="H30" i="1" s="1"/>
  <c r="AD30" i="1"/>
  <c r="AE30" i="1" s="1"/>
  <c r="AA30" i="1"/>
  <c r="T30" i="1"/>
  <c r="S30" i="1"/>
  <c r="R30" i="1"/>
  <c r="P30" i="1"/>
  <c r="O30" i="1"/>
  <c r="N30" i="1"/>
  <c r="M30" i="1"/>
  <c r="L30" i="1"/>
  <c r="D30" i="1"/>
  <c r="AJ29" i="1"/>
  <c r="L29" i="1" s="1"/>
  <c r="AG29" i="1"/>
  <c r="H29" i="1" s="1"/>
  <c r="AD29" i="1"/>
  <c r="AE29" i="1" s="1"/>
  <c r="AJ28" i="1"/>
  <c r="AK28" i="1" s="1"/>
  <c r="AG28" i="1"/>
  <c r="AH28" i="1" s="1"/>
  <c r="AD28" i="1"/>
  <c r="AE28" i="1" s="1"/>
  <c r="L28" i="1"/>
  <c r="K28" i="1"/>
  <c r="J28" i="1"/>
  <c r="AJ27" i="1"/>
  <c r="AK27" i="1" s="1"/>
  <c r="AG27" i="1"/>
  <c r="H27" i="1" s="1"/>
  <c r="AD27" i="1"/>
  <c r="AE27" i="1" s="1"/>
  <c r="L27" i="1"/>
  <c r="K27" i="1"/>
  <c r="J27" i="1"/>
  <c r="AJ26" i="1"/>
  <c r="M26" i="1" s="1"/>
  <c r="AG26" i="1"/>
  <c r="G26" i="1" s="1"/>
  <c r="AD26" i="1"/>
  <c r="C26" i="1" s="1"/>
  <c r="AJ25" i="1"/>
  <c r="L25" i="1" s="1"/>
  <c r="AG25" i="1"/>
  <c r="AH25" i="1" s="1"/>
  <c r="AD25" i="1"/>
  <c r="B25" i="1" s="1"/>
  <c r="Z25" i="1"/>
  <c r="V25" i="1"/>
  <c r="U25" i="1"/>
  <c r="T25" i="1"/>
  <c r="S25" i="1"/>
  <c r="R25" i="1"/>
  <c r="Q25" i="1"/>
  <c r="P25" i="1"/>
  <c r="O25" i="1"/>
  <c r="H25" i="1"/>
  <c r="F25" i="1"/>
  <c r="E25" i="1"/>
  <c r="AJ21" i="1"/>
  <c r="J21" i="1" s="1"/>
  <c r="AG21" i="1"/>
  <c r="AH21" i="1" s="1"/>
  <c r="AD21" i="1"/>
  <c r="AE21" i="1" s="1"/>
  <c r="V21" i="1"/>
  <c r="T21" i="1"/>
  <c r="S21" i="1"/>
  <c r="R21" i="1"/>
  <c r="AJ20" i="1"/>
  <c r="L20" i="1" s="1"/>
  <c r="AG20" i="1"/>
  <c r="AH20" i="1" s="1"/>
  <c r="AD20" i="1"/>
  <c r="F20" i="1" s="1"/>
  <c r="V20" i="1"/>
  <c r="T20" i="1"/>
  <c r="S20" i="1"/>
  <c r="R20" i="1"/>
  <c r="C20" i="1"/>
  <c r="AJ19" i="1"/>
  <c r="AK19" i="1" s="1"/>
  <c r="AG19" i="1"/>
  <c r="AH19" i="1" s="1"/>
  <c r="AD19" i="1"/>
  <c r="AE19" i="1" s="1"/>
  <c r="AJ18" i="1"/>
  <c r="AK18" i="1" s="1"/>
  <c r="AG18" i="1"/>
  <c r="AH18" i="1" s="1"/>
  <c r="AD18" i="1"/>
  <c r="AE18" i="1" s="1"/>
  <c r="AA14" i="1"/>
  <c r="AB14" i="1" s="1"/>
  <c r="X14" i="1"/>
  <c r="Y14" i="1" s="1"/>
  <c r="T14" i="1"/>
  <c r="V14" i="1" s="1"/>
  <c r="AC14" i="1" s="1"/>
  <c r="AE14" i="1" s="1"/>
  <c r="AA13" i="1"/>
  <c r="AB13" i="1" s="1"/>
  <c r="X13" i="1"/>
  <c r="Y13" i="1" s="1"/>
  <c r="T13" i="1"/>
  <c r="V13" i="1" s="1"/>
  <c r="AC13" i="1" s="1"/>
  <c r="AE13" i="1" s="1"/>
  <c r="Q13" i="1"/>
  <c r="AA12" i="1"/>
  <c r="AB12" i="1" s="1"/>
  <c r="X12" i="1"/>
  <c r="Y12" i="1" s="1"/>
  <c r="T12" i="1"/>
  <c r="V12" i="1" s="1"/>
  <c r="AA11" i="1"/>
  <c r="AB11" i="1" s="1"/>
  <c r="X11" i="1"/>
  <c r="Y11" i="1" s="1"/>
  <c r="T11" i="1"/>
  <c r="V11" i="1" s="1"/>
  <c r="H11" i="1"/>
  <c r="I11" i="1" s="1"/>
  <c r="E11" i="1"/>
  <c r="AH10" i="1"/>
  <c r="AH5" i="1"/>
  <c r="AH9" i="1" s="1"/>
  <c r="BH3" i="1"/>
  <c r="BH2" i="1"/>
  <c r="E2" i="1"/>
  <c r="E4" i="1" s="1"/>
  <c r="M2" i="1" l="1"/>
  <c r="M3" i="1"/>
  <c r="Z43" i="1"/>
  <c r="AL19" i="1"/>
  <c r="AO19" i="1" s="1"/>
  <c r="AH29" i="1"/>
  <c r="E31" i="1"/>
  <c r="G33" i="1"/>
  <c r="AB33" i="1" s="1"/>
  <c r="AL41" i="1"/>
  <c r="AL44" i="1"/>
  <c r="K72" i="1"/>
  <c r="AB72" i="1" s="1"/>
  <c r="C25" i="1"/>
  <c r="M28" i="1"/>
  <c r="AB28" i="1" s="1"/>
  <c r="B30" i="1"/>
  <c r="H31" i="1"/>
  <c r="J33" i="1"/>
  <c r="B20" i="1"/>
  <c r="D25" i="1"/>
  <c r="AL28" i="1"/>
  <c r="AM28" i="1" s="1"/>
  <c r="C30" i="1"/>
  <c r="J31" i="1"/>
  <c r="Z42" i="1"/>
  <c r="AC11" i="1"/>
  <c r="AE11" i="1" s="1"/>
  <c r="L33" i="1"/>
  <c r="J20" i="1"/>
  <c r="L32" i="1"/>
  <c r="K20" i="1"/>
  <c r="G25" i="1"/>
  <c r="G29" i="1"/>
  <c r="AL33" i="1"/>
  <c r="AM33" i="1" s="1"/>
  <c r="B11" i="1"/>
  <c r="C11" i="1" s="1"/>
  <c r="F11" i="1"/>
  <c r="AC12" i="1"/>
  <c r="AE12" i="1" s="1"/>
  <c r="B31" i="1"/>
  <c r="AL42" i="1"/>
  <c r="Z44" i="1"/>
  <c r="C31" i="1"/>
  <c r="Z41" i="1"/>
  <c r="AL18" i="1"/>
  <c r="AO18" i="1" s="1"/>
  <c r="AL35" i="1"/>
  <c r="AO35" i="1" s="1"/>
  <c r="AK25" i="1"/>
  <c r="AH30" i="1"/>
  <c r="AL30" i="1" s="1"/>
  <c r="AO30" i="1" s="1"/>
  <c r="AE43" i="1"/>
  <c r="AL43" i="1" s="1"/>
  <c r="AK20" i="1"/>
  <c r="F34" i="1"/>
  <c r="D26" i="1"/>
  <c r="AB26" i="1" s="1"/>
  <c r="K29" i="1"/>
  <c r="G34" i="1"/>
  <c r="AK34" i="1"/>
  <c r="AL34" i="1" s="1"/>
  <c r="AO34" i="1" s="1"/>
  <c r="AE72" i="1"/>
  <c r="AH31" i="1"/>
  <c r="AL31" i="1" s="1"/>
  <c r="AK29" i="1"/>
  <c r="AL29" i="1" s="1"/>
  <c r="AO29" i="1" s="1"/>
  <c r="M20" i="1"/>
  <c r="L31" i="1"/>
  <c r="C21" i="1"/>
  <c r="E21" i="1"/>
  <c r="AH32" i="1"/>
  <c r="AL32" i="1" s="1"/>
  <c r="AO32" i="1" s="1"/>
  <c r="H34" i="1"/>
  <c r="AE26" i="1"/>
  <c r="M31" i="1"/>
  <c r="J25" i="1"/>
  <c r="M29" i="1"/>
  <c r="J34" i="1"/>
  <c r="H26" i="1"/>
  <c r="AK21" i="1"/>
  <c r="AL21" i="1" s="1"/>
  <c r="AO21" i="1" s="1"/>
  <c r="AH26" i="1"/>
  <c r="J29" i="1"/>
  <c r="M4" i="1"/>
  <c r="AH2" i="1" s="1"/>
  <c r="AH3" i="1" s="1"/>
  <c r="AH4" i="1" s="1"/>
  <c r="AI4" i="1" s="1"/>
  <c r="AK26" i="1"/>
  <c r="K21" i="1"/>
  <c r="J26" i="1"/>
  <c r="G30" i="1"/>
  <c r="AK32" i="1"/>
  <c r="K34" i="1"/>
  <c r="L21" i="1"/>
  <c r="M25" i="1"/>
  <c r="AE25" i="1"/>
  <c r="K26" i="1"/>
  <c r="G32" i="1"/>
  <c r="AB32" i="1" s="1"/>
  <c r="L34" i="1"/>
  <c r="L72" i="1"/>
  <c r="AK72" i="1"/>
  <c r="K25" i="1"/>
  <c r="AH27" i="1"/>
  <c r="AL27" i="1" s="1"/>
  <c r="AO27" i="1" s="1"/>
  <c r="AE20" i="1"/>
  <c r="AK30" i="1"/>
  <c r="D20" i="1"/>
  <c r="L26" i="1"/>
  <c r="G27" i="1"/>
  <c r="AB27" i="1" s="1"/>
  <c r="J30" i="1"/>
  <c r="AL72" i="1" l="1"/>
  <c r="AO72" i="1" s="1"/>
  <c r="AO33" i="1"/>
  <c r="AL25" i="1"/>
  <c r="AO25" i="1" s="1"/>
  <c r="AO28" i="1"/>
  <c r="AB25" i="1"/>
  <c r="AB30" i="1"/>
  <c r="Q11" i="1"/>
  <c r="AB20" i="1"/>
  <c r="AB29" i="1"/>
  <c r="AB31" i="1"/>
  <c r="AM31" i="1"/>
  <c r="AO31" i="1" s="1"/>
  <c r="AB21" i="1"/>
  <c r="AL20" i="1"/>
  <c r="AO20" i="1" s="1"/>
  <c r="AL26" i="1"/>
  <c r="AB34" i="1"/>
  <c r="AM26" i="1" l="1"/>
  <c r="AM36" i="1" s="1"/>
  <c r="AO26" i="1"/>
  <c r="AO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段丁菊</author>
    <author>ddjj</author>
    <author>tfj</author>
    <author>hp</author>
    <author>田凤娟</author>
    <author>中央工厂</author>
  </authors>
  <commentList>
    <comment ref="AH4" authorId="0" shapeId="0" xr:uid="{8D90247E-AF8A-B449-80BA-6B3642E87766}">
      <text>
        <r>
          <rPr>
            <b/>
            <sz val="10"/>
            <color rgb="FF000000"/>
            <rFont val="Microsoft YaHei UI"/>
            <family val="2"/>
            <charset val="134"/>
          </rPr>
          <t>段丁菊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当此行值大于</t>
        </r>
        <r>
          <rPr>
            <sz val="10"/>
            <color rgb="FF000000"/>
            <rFont val="Microsoft YaHei UI"/>
            <family val="2"/>
            <charset val="134"/>
          </rPr>
          <t>300,</t>
        </r>
        <r>
          <rPr>
            <sz val="10"/>
            <color rgb="FF000000"/>
            <rFont val="Microsoft YaHei UI"/>
            <family val="2"/>
            <charset val="134"/>
          </rPr>
          <t>适当灵活取值</t>
        </r>
        <r>
          <rPr>
            <sz val="10"/>
            <color rgb="FF000000"/>
            <rFont val="Microsoft YaHei UI"/>
            <family val="2"/>
            <charset val="134"/>
          </rPr>
          <t>,</t>
        </r>
        <r>
          <rPr>
            <sz val="10"/>
            <color rgb="FF000000"/>
            <rFont val="Microsoft YaHei UI"/>
            <family val="2"/>
            <charset val="134"/>
          </rPr>
          <t>通常不高于</t>
        </r>
        <r>
          <rPr>
            <sz val="10"/>
            <color rgb="FF000000"/>
            <rFont val="Microsoft YaHei UI"/>
            <family val="2"/>
            <charset val="134"/>
          </rPr>
          <t>300,</t>
        </r>
        <r>
          <rPr>
            <sz val="10"/>
            <color rgb="FF000000"/>
            <rFont val="Microsoft YaHei UI"/>
            <family val="2"/>
            <charset val="134"/>
          </rPr>
          <t>业绩非常好的情形</t>
        </r>
        <r>
          <rPr>
            <sz val="10"/>
            <color rgb="FF000000"/>
            <rFont val="Microsoft YaHei UI"/>
            <family val="2"/>
            <charset val="134"/>
          </rPr>
          <t>,</t>
        </r>
        <r>
          <rPr>
            <sz val="10"/>
            <color rgb="FF000000"/>
            <rFont val="Microsoft YaHei UI"/>
            <family val="2"/>
            <charset val="134"/>
          </rPr>
          <t>此行的值远大于</t>
        </r>
        <r>
          <rPr>
            <sz val="10"/>
            <color rgb="FF000000"/>
            <rFont val="Microsoft YaHei UI"/>
            <family val="2"/>
            <charset val="134"/>
          </rPr>
          <t>300</t>
        </r>
        <r>
          <rPr>
            <sz val="10"/>
            <color rgb="FF000000"/>
            <rFont val="Microsoft YaHei UI"/>
            <family val="2"/>
            <charset val="134"/>
          </rPr>
          <t>元</t>
        </r>
        <r>
          <rPr>
            <sz val="10"/>
            <color rgb="FF000000"/>
            <rFont val="Microsoft YaHei UI"/>
            <family val="2"/>
            <charset val="134"/>
          </rPr>
          <t>,</t>
        </r>
        <r>
          <rPr>
            <sz val="10"/>
            <color rgb="FF000000"/>
            <rFont val="Microsoft YaHei UI"/>
            <family val="2"/>
            <charset val="134"/>
          </rPr>
          <t>适当进行上浮</t>
        </r>
        <r>
          <rPr>
            <sz val="10"/>
            <color rgb="FF000000"/>
            <rFont val="Microsoft YaHei UI"/>
            <family val="2"/>
            <charset val="134"/>
          </rPr>
          <t>.</t>
        </r>
      </text>
    </comment>
    <comment ref="F10" authorId="1" shapeId="0" xr:uid="{A77A4EC0-A891-C44F-83AA-16BAA9E50B2F}">
      <text>
        <r>
          <rPr>
            <b/>
            <sz val="9"/>
            <color rgb="FF000000"/>
            <rFont val="宋体"/>
            <family val="3"/>
            <charset val="134"/>
          </rPr>
          <t>ddjj: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印中通过，参照人员变动表里。</t>
        </r>
      </text>
    </comment>
    <comment ref="K10" authorId="0" shapeId="0" xr:uid="{5BE29962-BDAE-4644-86DC-7CD9D8FA86EA}">
      <text>
        <r>
          <rPr>
            <b/>
            <sz val="10"/>
            <color rgb="FF000000"/>
            <rFont val="Microsoft YaHei UI"/>
            <family val="2"/>
            <charset val="134"/>
          </rPr>
          <t>段丁菊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宋体"/>
            <family val="3"/>
            <charset val="134"/>
          </rPr>
          <t>开单加结算大于</t>
        </r>
        <r>
          <rPr>
            <sz val="10"/>
            <color rgb="FF000000"/>
            <rFont val="宋体"/>
            <family val="3"/>
            <charset val="134"/>
          </rPr>
          <t>200</t>
        </r>
        <r>
          <rPr>
            <sz val="10"/>
            <color rgb="FF000000"/>
            <rFont val="宋体"/>
            <family val="3"/>
            <charset val="134"/>
          </rPr>
          <t>单</t>
        </r>
        <r>
          <rPr>
            <sz val="10"/>
            <color rgb="FF000000"/>
            <rFont val="宋体"/>
            <family val="3"/>
            <charset val="134"/>
          </rPr>
          <t>,</t>
        </r>
        <r>
          <rPr>
            <sz val="10"/>
            <color rgb="FF000000"/>
            <rFont val="宋体"/>
            <family val="3"/>
            <charset val="134"/>
          </rPr>
          <t>取值</t>
        </r>
        <r>
          <rPr>
            <sz val="10"/>
            <color rgb="FF000000"/>
            <rFont val="宋体"/>
            <family val="3"/>
            <charset val="134"/>
          </rPr>
          <t>200</t>
        </r>
        <r>
          <rPr>
            <sz val="10"/>
            <color rgb="FF000000"/>
            <rFont val="宋体"/>
            <family val="3"/>
            <charset val="134"/>
          </rPr>
          <t>元</t>
        </r>
        <r>
          <rPr>
            <sz val="10"/>
            <color rgb="FF000000"/>
            <rFont val="宋体"/>
            <family val="3"/>
            <charset val="134"/>
          </rPr>
          <t>,</t>
        </r>
        <r>
          <rPr>
            <sz val="10"/>
            <color rgb="FF000000"/>
            <rFont val="宋体"/>
            <family val="3"/>
            <charset val="134"/>
          </rPr>
          <t>小于</t>
        </r>
        <r>
          <rPr>
            <sz val="10"/>
            <color rgb="FF000000"/>
            <rFont val="宋体"/>
            <family val="3"/>
            <charset val="134"/>
          </rPr>
          <t>200</t>
        </r>
        <r>
          <rPr>
            <sz val="10"/>
            <color rgb="FF000000"/>
            <rFont val="宋体"/>
            <family val="3"/>
            <charset val="134"/>
          </rPr>
          <t>单</t>
        </r>
        <r>
          <rPr>
            <sz val="10"/>
            <color rgb="FF000000"/>
            <rFont val="宋体"/>
            <family val="3"/>
            <charset val="134"/>
          </rPr>
          <t>,</t>
        </r>
        <r>
          <rPr>
            <sz val="10"/>
            <color rgb="FF000000"/>
            <rFont val="宋体"/>
            <family val="3"/>
            <charset val="134"/>
          </rPr>
          <t>取值</t>
        </r>
        <r>
          <rPr>
            <sz val="10"/>
            <color rgb="FF000000"/>
            <rFont val="宋体"/>
            <family val="3"/>
            <charset val="134"/>
          </rPr>
          <t>100</t>
        </r>
        <r>
          <rPr>
            <sz val="10"/>
            <color rgb="FF000000"/>
            <rFont val="宋体"/>
            <family val="3"/>
            <charset val="134"/>
          </rPr>
          <t>元</t>
        </r>
        <r>
          <rPr>
            <sz val="10"/>
            <color rgb="FF000000"/>
            <rFont val="宋体"/>
            <family val="3"/>
            <charset val="134"/>
          </rPr>
          <t xml:space="preserve">.
</t>
        </r>
      </text>
    </comment>
    <comment ref="N10" authorId="2" shapeId="0" xr:uid="{9737FA26-DC01-1C4D-BC41-91B59734A79B}">
      <text>
        <r>
          <rPr>
            <b/>
            <sz val="14"/>
            <color rgb="FF000000"/>
            <rFont val="宋体"/>
            <family val="3"/>
            <charset val="134"/>
          </rPr>
          <t>tfj:</t>
        </r>
        <r>
          <rPr>
            <sz val="14"/>
            <color rgb="FF000000"/>
            <rFont val="宋体"/>
            <family val="3"/>
            <charset val="134"/>
          </rPr>
          <t xml:space="preserve">
</t>
        </r>
        <r>
          <rPr>
            <sz val="14"/>
            <color rgb="FF000000"/>
            <rFont val="宋体"/>
            <family val="3"/>
            <charset val="134"/>
          </rPr>
          <t xml:space="preserve">hp:
</t>
        </r>
        <r>
          <rPr>
            <sz val="14"/>
            <color rgb="FF000000"/>
            <rFont val="宋体"/>
            <family val="3"/>
            <charset val="134"/>
          </rPr>
          <t>关于不在岗判断条件：</t>
        </r>
        <r>
          <rPr>
            <sz val="14"/>
            <color rgb="FF000000"/>
            <rFont val="宋体"/>
            <family val="3"/>
            <charset val="134"/>
          </rPr>
          <t>1</t>
        </r>
        <r>
          <rPr>
            <sz val="14"/>
            <color rgb="FF000000"/>
            <rFont val="宋体"/>
            <family val="3"/>
            <charset val="134"/>
          </rPr>
          <t>、三类订单合计不低于</t>
        </r>
        <r>
          <rPr>
            <sz val="14"/>
            <color rgb="FF000000"/>
            <rFont val="宋体"/>
            <family val="3"/>
            <charset val="134"/>
          </rPr>
          <t>20</t>
        </r>
        <r>
          <rPr>
            <sz val="14"/>
            <color rgb="FF000000"/>
            <rFont val="宋体"/>
            <family val="3"/>
            <charset val="134"/>
          </rPr>
          <t>个，</t>
        </r>
        <r>
          <rPr>
            <sz val="14"/>
            <color rgb="FF000000"/>
            <rFont val="宋体"/>
            <family val="3"/>
            <charset val="134"/>
          </rPr>
          <t>2</t>
        </r>
        <r>
          <rPr>
            <sz val="14"/>
            <color rgb="FF000000"/>
            <rFont val="宋体"/>
            <family val="3"/>
            <charset val="134"/>
          </rPr>
          <t>、单项广告不低于</t>
        </r>
        <r>
          <rPr>
            <sz val="14"/>
            <color rgb="FF000000"/>
            <rFont val="宋体"/>
            <family val="3"/>
            <charset val="134"/>
          </rPr>
          <t>10</t>
        </r>
        <r>
          <rPr>
            <sz val="14"/>
            <color rgb="FF000000"/>
            <rFont val="宋体"/>
            <family val="3"/>
            <charset val="134"/>
          </rPr>
          <t>个，印刷和设计各不低于</t>
        </r>
        <r>
          <rPr>
            <sz val="14"/>
            <color rgb="FF000000"/>
            <rFont val="宋体"/>
            <family val="3"/>
            <charset val="134"/>
          </rPr>
          <t>5</t>
        </r>
        <r>
          <rPr>
            <sz val="14"/>
            <color rgb="FF000000"/>
            <rFont val="宋体"/>
            <family val="3"/>
            <charset val="134"/>
          </rPr>
          <t>个，</t>
        </r>
        <r>
          <rPr>
            <sz val="14"/>
            <color rgb="FF000000"/>
            <rFont val="宋体"/>
            <family val="3"/>
            <charset val="134"/>
          </rPr>
          <t>3</t>
        </r>
        <r>
          <rPr>
            <sz val="14"/>
            <color rgb="FF000000"/>
            <rFont val="宋体"/>
            <family val="3"/>
            <charset val="134"/>
          </rPr>
          <t>、如果订单大于</t>
        </r>
        <r>
          <rPr>
            <sz val="14"/>
            <color rgb="FF000000"/>
            <rFont val="宋体"/>
            <family val="3"/>
            <charset val="134"/>
          </rPr>
          <t>20</t>
        </r>
        <r>
          <rPr>
            <sz val="14"/>
            <color rgb="FF000000"/>
            <rFont val="宋体"/>
            <family val="3"/>
            <charset val="134"/>
          </rPr>
          <t>，但是单项不达标，不达标项不能获得该技能，单项达标获得该技能（</t>
        </r>
        <r>
          <rPr>
            <sz val="14"/>
            <color rgb="FF000000"/>
            <rFont val="宋体"/>
            <family val="3"/>
            <charset val="134"/>
          </rPr>
          <t>100</t>
        </r>
        <r>
          <rPr>
            <sz val="14"/>
            <color rgb="FF000000"/>
            <rFont val="宋体"/>
            <family val="3"/>
            <charset val="134"/>
          </rPr>
          <t>元）；</t>
        </r>
        <r>
          <rPr>
            <sz val="14"/>
            <color rgb="FF000000"/>
            <rFont val="宋体"/>
            <family val="3"/>
            <charset val="134"/>
          </rPr>
          <t xml:space="preserve">
</t>
        </r>
        <r>
          <rPr>
            <sz val="14"/>
            <color rgb="FF000000"/>
            <rFont val="宋体"/>
            <family val="3"/>
            <charset val="134"/>
          </rPr>
          <t>关于在岗判断条件：</t>
        </r>
        <r>
          <rPr>
            <sz val="14"/>
            <color rgb="FF000000"/>
            <rFont val="宋体"/>
            <family val="3"/>
            <charset val="134"/>
          </rPr>
          <t>1</t>
        </r>
        <r>
          <rPr>
            <sz val="14"/>
            <color rgb="FF000000"/>
            <rFont val="宋体"/>
            <family val="3"/>
            <charset val="134"/>
          </rPr>
          <t>、三类合计不低于</t>
        </r>
        <r>
          <rPr>
            <sz val="14"/>
            <color rgb="FF000000"/>
            <rFont val="宋体"/>
            <family val="3"/>
            <charset val="134"/>
          </rPr>
          <t>45</t>
        </r>
        <r>
          <rPr>
            <sz val="14"/>
            <color rgb="FF000000"/>
            <rFont val="宋体"/>
            <family val="3"/>
            <charset val="134"/>
          </rPr>
          <t>个；</t>
        </r>
        <r>
          <rPr>
            <sz val="14"/>
            <color rgb="FF000000"/>
            <rFont val="宋体"/>
            <family val="3"/>
            <charset val="134"/>
          </rPr>
          <t>2</t>
        </r>
        <r>
          <rPr>
            <sz val="14"/>
            <color rgb="FF000000"/>
            <rFont val="宋体"/>
            <family val="3"/>
            <charset val="134"/>
          </rPr>
          <t>、单项广告不低于</t>
        </r>
        <r>
          <rPr>
            <sz val="14"/>
            <color rgb="FF000000"/>
            <rFont val="宋体"/>
            <family val="3"/>
            <charset val="134"/>
          </rPr>
          <t>25</t>
        </r>
        <r>
          <rPr>
            <sz val="14"/>
            <color rgb="FF000000"/>
            <rFont val="宋体"/>
            <family val="3"/>
            <charset val="134"/>
          </rPr>
          <t>个，印刷、设计各不低于</t>
        </r>
        <r>
          <rPr>
            <sz val="14"/>
            <color rgb="FF000000"/>
            <rFont val="宋体"/>
            <family val="3"/>
            <charset val="134"/>
          </rPr>
          <t>10</t>
        </r>
        <r>
          <rPr>
            <sz val="14"/>
            <color rgb="FF000000"/>
            <rFont val="宋体"/>
            <family val="3"/>
            <charset val="134"/>
          </rPr>
          <t>个；</t>
        </r>
        <r>
          <rPr>
            <sz val="14"/>
            <color rgb="FF000000"/>
            <rFont val="宋体"/>
            <family val="3"/>
            <charset val="134"/>
          </rPr>
          <t>3</t>
        </r>
        <r>
          <rPr>
            <sz val="14"/>
            <color rgb="FF000000"/>
            <rFont val="宋体"/>
            <family val="3"/>
            <charset val="134"/>
          </rPr>
          <t>、如果订单大于</t>
        </r>
        <r>
          <rPr>
            <sz val="14"/>
            <color rgb="FF000000"/>
            <rFont val="宋体"/>
            <family val="3"/>
            <charset val="134"/>
          </rPr>
          <t>45</t>
        </r>
        <r>
          <rPr>
            <sz val="14"/>
            <color rgb="FF000000"/>
            <rFont val="宋体"/>
            <family val="3"/>
            <charset val="134"/>
          </rPr>
          <t>个，但单项不达标，不达标项定为不在岗（</t>
        </r>
        <r>
          <rPr>
            <sz val="14"/>
            <color rgb="FF000000"/>
            <rFont val="宋体"/>
            <family val="3"/>
            <charset val="134"/>
          </rPr>
          <t>100</t>
        </r>
        <r>
          <rPr>
            <sz val="14"/>
            <color rgb="FF000000"/>
            <rFont val="宋体"/>
            <family val="3"/>
            <charset val="134"/>
          </rPr>
          <t>元），单项达标定为在岗（</t>
        </r>
        <r>
          <rPr>
            <sz val="14"/>
            <color rgb="FF000000"/>
            <rFont val="宋体"/>
            <family val="3"/>
            <charset val="134"/>
          </rPr>
          <t>200</t>
        </r>
        <r>
          <rPr>
            <sz val="14"/>
            <color rgb="FF000000"/>
            <rFont val="宋体"/>
            <family val="3"/>
            <charset val="134"/>
          </rPr>
          <t>元）。</t>
        </r>
      </text>
    </comment>
    <comment ref="AD10" authorId="3" shapeId="0" xr:uid="{04A593CD-D5B9-704F-9D75-FB3C43862E90}">
      <text>
        <r>
          <rPr>
            <b/>
            <sz val="9"/>
            <color rgb="FF000000"/>
            <rFont val="宋体"/>
            <family val="3"/>
            <charset val="134"/>
          </rPr>
          <t>流失新的计算方式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>一、</t>
        </r>
        <r>
          <rPr>
            <b/>
            <sz val="9"/>
            <color rgb="FF000000"/>
            <rFont val="宋体"/>
            <family val="3"/>
            <charset val="134"/>
          </rPr>
          <t>2</t>
        </r>
        <r>
          <rPr>
            <b/>
            <sz val="9"/>
            <color rgb="FF000000"/>
            <rFont val="宋体"/>
            <family val="3"/>
            <charset val="134"/>
          </rPr>
          <t>个以下的流失按照入职</t>
        </r>
        <r>
          <rPr>
            <b/>
            <sz val="9"/>
            <color rgb="FF000000"/>
            <rFont val="宋体"/>
            <family val="3"/>
            <charset val="134"/>
          </rPr>
          <t>1</t>
        </r>
        <r>
          <rPr>
            <b/>
            <sz val="9"/>
            <color rgb="FF000000"/>
            <rFont val="宋体"/>
            <family val="3"/>
            <charset val="134"/>
          </rPr>
          <t>年以上</t>
        </r>
        <r>
          <rPr>
            <b/>
            <sz val="9"/>
            <color rgb="FF000000"/>
            <rFont val="宋体"/>
            <family val="3"/>
            <charset val="134"/>
          </rPr>
          <t>150</t>
        </r>
        <r>
          <rPr>
            <b/>
            <sz val="9"/>
            <color rgb="FF000000"/>
            <rFont val="宋体"/>
            <family val="3"/>
            <charset val="134"/>
          </rPr>
          <t>元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个，入职</t>
        </r>
        <r>
          <rPr>
            <b/>
            <sz val="9"/>
            <color rgb="FF000000"/>
            <rFont val="宋体"/>
            <family val="3"/>
            <charset val="134"/>
          </rPr>
          <t>1</t>
        </r>
        <r>
          <rPr>
            <b/>
            <sz val="9"/>
            <color rgb="FF000000"/>
            <rFont val="宋体"/>
            <family val="3"/>
            <charset val="134"/>
          </rPr>
          <t>年以下</t>
        </r>
        <r>
          <rPr>
            <b/>
            <sz val="9"/>
            <color rgb="FF000000"/>
            <rFont val="宋体"/>
            <family val="3"/>
            <charset val="134"/>
          </rPr>
          <t>100</t>
        </r>
        <r>
          <rPr>
            <b/>
            <sz val="9"/>
            <color rgb="FF000000"/>
            <rFont val="宋体"/>
            <family val="3"/>
            <charset val="134"/>
          </rPr>
          <t>元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个。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>二、</t>
        </r>
        <r>
          <rPr>
            <b/>
            <sz val="9"/>
            <color rgb="FF000000"/>
            <rFont val="宋体"/>
            <family val="3"/>
            <charset val="134"/>
          </rPr>
          <t>2</t>
        </r>
        <r>
          <rPr>
            <b/>
            <sz val="9"/>
            <color rgb="FF000000"/>
            <rFont val="宋体"/>
            <family val="3"/>
            <charset val="134"/>
          </rPr>
          <t>个及</t>
        </r>
        <r>
          <rPr>
            <b/>
            <sz val="9"/>
            <color rgb="FF000000"/>
            <rFont val="宋体"/>
            <family val="3"/>
            <charset val="134"/>
          </rPr>
          <t>2</t>
        </r>
        <r>
          <rPr>
            <b/>
            <sz val="9"/>
            <color rgb="FF000000"/>
            <rFont val="宋体"/>
            <family val="3"/>
            <charset val="134"/>
          </rPr>
          <t>个以上的流失，第</t>
        </r>
        <r>
          <rPr>
            <b/>
            <sz val="9"/>
            <color rgb="FF000000"/>
            <rFont val="宋体"/>
            <family val="3"/>
            <charset val="134"/>
          </rPr>
          <t>1</t>
        </r>
        <r>
          <rPr>
            <b/>
            <sz val="9"/>
            <color rgb="FF000000"/>
            <rFont val="宋体"/>
            <family val="3"/>
            <charset val="134"/>
          </rPr>
          <t>个流失按照第一条计算，第</t>
        </r>
        <r>
          <rPr>
            <b/>
            <sz val="9"/>
            <color rgb="FF000000"/>
            <rFont val="宋体"/>
            <family val="3"/>
            <charset val="134"/>
          </rPr>
          <t>2</t>
        </r>
        <r>
          <rPr>
            <b/>
            <sz val="9"/>
            <color rgb="FF000000"/>
            <rFont val="宋体"/>
            <family val="3"/>
            <charset val="134"/>
          </rPr>
          <t>个及以上的部分按照绩效最优项进行扣减绩效，技能工资不影响：印前：</t>
        </r>
        <r>
          <rPr>
            <b/>
            <sz val="9"/>
            <color rgb="FF000000"/>
            <rFont val="宋体"/>
            <family val="3"/>
            <charset val="134"/>
          </rPr>
          <t>10</t>
        </r>
        <r>
          <rPr>
            <b/>
            <sz val="9"/>
            <color rgb="FF000000"/>
            <rFont val="宋体"/>
            <family val="3"/>
            <charset val="134"/>
          </rPr>
          <t>万；印中：</t>
        </r>
        <r>
          <rPr>
            <b/>
            <sz val="9"/>
            <color rgb="FF000000"/>
            <rFont val="宋体"/>
            <family val="3"/>
            <charset val="134"/>
          </rPr>
          <t>8</t>
        </r>
        <r>
          <rPr>
            <b/>
            <sz val="9"/>
            <color rgb="FF000000"/>
            <rFont val="宋体"/>
            <family val="3"/>
            <charset val="134"/>
          </rPr>
          <t>万；印后：</t>
        </r>
        <r>
          <rPr>
            <b/>
            <sz val="9"/>
            <color rgb="FF000000"/>
            <rFont val="宋体"/>
            <family val="3"/>
            <charset val="134"/>
          </rPr>
          <t>15</t>
        </r>
        <r>
          <rPr>
            <b/>
            <sz val="9"/>
            <color rgb="FF000000"/>
            <rFont val="宋体"/>
            <family val="3"/>
            <charset val="134"/>
          </rPr>
          <t>万；同时扣减不低于</t>
        </r>
        <r>
          <rPr>
            <b/>
            <sz val="9"/>
            <color rgb="FF000000"/>
            <rFont val="宋体"/>
            <family val="3"/>
            <charset val="134"/>
          </rPr>
          <t>300</t>
        </r>
        <r>
          <rPr>
            <b/>
            <sz val="9"/>
            <color rgb="FF000000"/>
            <rFont val="宋体"/>
            <family val="3"/>
            <charset val="134"/>
          </rPr>
          <t>元，不高于</t>
        </r>
        <r>
          <rPr>
            <b/>
            <sz val="9"/>
            <color rgb="FF000000"/>
            <rFont val="宋体"/>
            <family val="3"/>
            <charset val="134"/>
          </rPr>
          <t>500</t>
        </r>
        <r>
          <rPr>
            <b/>
            <sz val="9"/>
            <color rgb="FF000000"/>
            <rFont val="宋体"/>
            <family val="3"/>
            <charset val="134"/>
          </rPr>
          <t>元。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>三、</t>
        </r>
        <r>
          <rPr>
            <b/>
            <sz val="9"/>
            <color rgb="FF000000"/>
            <rFont val="宋体"/>
            <family val="3"/>
            <charset val="134"/>
          </rPr>
          <t>3</t>
        </r>
        <r>
          <rPr>
            <b/>
            <sz val="9"/>
            <color rgb="FF000000"/>
            <rFont val="宋体"/>
            <family val="3"/>
            <charset val="134"/>
          </rPr>
          <t>个及</t>
        </r>
        <r>
          <rPr>
            <b/>
            <sz val="9"/>
            <color rgb="FF000000"/>
            <rFont val="宋体"/>
            <family val="3"/>
            <charset val="134"/>
          </rPr>
          <t>3</t>
        </r>
        <r>
          <rPr>
            <b/>
            <sz val="9"/>
            <color rgb="FF000000"/>
            <rFont val="宋体"/>
            <family val="3"/>
            <charset val="134"/>
          </rPr>
          <t>个以上的流失分为两种情况：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1</t>
        </r>
        <r>
          <rPr>
            <b/>
            <sz val="9"/>
            <color rgb="FF000000"/>
            <rFont val="宋体"/>
            <family val="3"/>
            <charset val="134"/>
          </rPr>
          <t>、不在轮岗中，取消全部绩效奖金，不影响技能工资，同时扣减不低于</t>
        </r>
        <r>
          <rPr>
            <b/>
            <sz val="9"/>
            <color rgb="FF000000"/>
            <rFont val="宋体"/>
            <family val="3"/>
            <charset val="134"/>
          </rPr>
          <t>450</t>
        </r>
        <r>
          <rPr>
            <b/>
            <sz val="9"/>
            <color rgb="FF000000"/>
            <rFont val="宋体"/>
            <family val="3"/>
            <charset val="134"/>
          </rPr>
          <t>元；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2</t>
        </r>
        <r>
          <rPr>
            <b/>
            <sz val="9"/>
            <color rgb="FF000000"/>
            <rFont val="宋体"/>
            <family val="3"/>
            <charset val="134"/>
          </rPr>
          <t>、在轮岗中，即该技能未得通过认定之前（包含新员工），流失一个</t>
        </r>
        <r>
          <rPr>
            <b/>
            <sz val="9"/>
            <color rgb="FF000000"/>
            <rFont val="宋体"/>
            <family val="3"/>
            <charset val="134"/>
          </rPr>
          <t>100</t>
        </r>
        <r>
          <rPr>
            <b/>
            <sz val="9"/>
            <color rgb="FF000000"/>
            <rFont val="宋体"/>
            <family val="3"/>
            <charset val="134"/>
          </rPr>
          <t>元，按照个数计算，不参与绩效扣减。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>四、</t>
        </r>
        <r>
          <rPr>
            <b/>
            <sz val="9"/>
            <color rgb="FF000000"/>
            <rFont val="宋体"/>
            <family val="3"/>
            <charset val="134"/>
          </rPr>
          <t>4</t>
        </r>
        <r>
          <rPr>
            <b/>
            <sz val="9"/>
            <color rgb="FF000000"/>
            <rFont val="宋体"/>
            <family val="3"/>
            <charset val="134"/>
          </rPr>
          <t>个以上的流失，绩效全部归零，同时技能工资是否在岗随绩效变化而变化，扣减费用不低于</t>
        </r>
        <r>
          <rPr>
            <b/>
            <sz val="9"/>
            <color rgb="FF000000"/>
            <rFont val="宋体"/>
            <family val="3"/>
            <charset val="134"/>
          </rPr>
          <t>600</t>
        </r>
        <r>
          <rPr>
            <b/>
            <sz val="9"/>
            <color rgb="FF000000"/>
            <rFont val="宋体"/>
            <family val="3"/>
            <charset val="134"/>
          </rPr>
          <t>元。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</text>
    </comment>
    <comment ref="AI10" authorId="0" shapeId="0" xr:uid="{DF6CBF89-3AF2-4243-BF69-2B27E3413BD0}">
      <text>
        <r>
          <rPr>
            <b/>
            <sz val="10"/>
            <color rgb="FF000000"/>
            <rFont val="Microsoft YaHei UI"/>
            <family val="2"/>
            <charset val="134"/>
          </rPr>
          <t>段丁菊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印前、中、后分值大于</t>
        </r>
        <r>
          <rPr>
            <sz val="10"/>
            <color rgb="FF000000"/>
            <rFont val="Microsoft YaHei UI"/>
            <family val="2"/>
            <charset val="134"/>
          </rPr>
          <t>50w</t>
        </r>
        <r>
          <rPr>
            <sz val="10"/>
            <color rgb="FF000000"/>
            <rFont val="Microsoft YaHei UI"/>
            <family val="2"/>
            <charset val="134"/>
          </rPr>
          <t>符合条件，超出部分不低于</t>
        </r>
        <r>
          <rPr>
            <sz val="10"/>
            <color rgb="FF000000"/>
            <rFont val="Microsoft YaHei UI"/>
            <family val="2"/>
            <charset val="134"/>
          </rPr>
          <t>10w</t>
        </r>
        <r>
          <rPr>
            <sz val="10"/>
            <color rgb="FF000000"/>
            <rFont val="Microsoft YaHei UI"/>
            <family val="2"/>
            <charset val="134"/>
          </rPr>
          <t>以上才有</t>
        </r>
      </text>
    </comment>
    <comment ref="A13" authorId="2" shapeId="0" xr:uid="{5A5CF56E-28B8-6342-88B5-C37B509DEFD1}">
      <text>
        <r>
          <rPr>
            <b/>
            <sz val="9"/>
            <color rgb="FF000000"/>
            <rFont val="宋体"/>
            <family val="3"/>
            <charset val="134"/>
          </rPr>
          <t>tfj: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无起步绩效</t>
        </r>
        <r>
          <rPr>
            <sz val="9"/>
            <color rgb="FF000000"/>
            <rFont val="宋体"/>
            <family val="3"/>
            <charset val="134"/>
          </rPr>
          <t>10</t>
        </r>
        <r>
          <rPr>
            <sz val="9"/>
            <color rgb="FF000000"/>
            <rFont val="宋体"/>
            <family val="3"/>
            <charset val="134"/>
          </rPr>
          <t>万，计算时在实际绩效数据上</t>
        </r>
        <r>
          <rPr>
            <sz val="9"/>
            <color rgb="FF000000"/>
            <rFont val="宋体"/>
            <family val="3"/>
            <charset val="134"/>
          </rPr>
          <t>+10</t>
        </r>
        <r>
          <rPr>
            <sz val="9"/>
            <color rgb="FF000000"/>
            <rFont val="宋体"/>
            <family val="3"/>
            <charset val="134"/>
          </rPr>
          <t>万</t>
        </r>
      </text>
    </comment>
    <comment ref="A14" authorId="2" shapeId="0" xr:uid="{4661EBE0-A0B8-814F-9A66-7D9AADC9F97C}">
      <text>
        <r>
          <rPr>
            <b/>
            <sz val="9"/>
            <color rgb="FF000000"/>
            <rFont val="宋体"/>
            <family val="3"/>
            <charset val="134"/>
          </rPr>
          <t>tfj: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无起步绩效</t>
        </r>
        <r>
          <rPr>
            <sz val="9"/>
            <color rgb="FF000000"/>
            <rFont val="宋体"/>
            <family val="3"/>
            <charset val="134"/>
          </rPr>
          <t>10</t>
        </r>
        <r>
          <rPr>
            <sz val="9"/>
            <color rgb="FF000000"/>
            <rFont val="宋体"/>
            <family val="3"/>
            <charset val="134"/>
          </rPr>
          <t>万，计算时在实际绩效数据上</t>
        </r>
        <r>
          <rPr>
            <sz val="9"/>
            <color rgb="FF000000"/>
            <rFont val="宋体"/>
            <family val="3"/>
            <charset val="134"/>
          </rPr>
          <t>+10</t>
        </r>
        <r>
          <rPr>
            <sz val="9"/>
            <color rgb="FF000000"/>
            <rFont val="宋体"/>
            <family val="3"/>
            <charset val="134"/>
          </rPr>
          <t>万</t>
        </r>
      </text>
    </comment>
    <comment ref="AM17" authorId="4" shapeId="0" xr:uid="{4B3BDA0E-8A55-9841-B9F3-CB1DA90B7736}">
      <text>
        <r>
          <rPr>
            <b/>
            <sz val="10"/>
            <color rgb="FF000000"/>
            <rFont val="Microsoft YaHei UI"/>
            <family val="2"/>
            <charset val="134"/>
          </rPr>
          <t>田凤娟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前三名，奖励</t>
        </r>
        <r>
          <rPr>
            <sz val="10"/>
            <color rgb="FF000000"/>
            <rFont val="Microsoft YaHei UI"/>
            <family val="2"/>
            <charset val="134"/>
          </rPr>
          <t>30%</t>
        </r>
        <r>
          <rPr>
            <sz val="10"/>
            <color rgb="FF000000"/>
            <rFont val="Microsoft YaHei UI"/>
            <family val="2"/>
            <charset val="134"/>
          </rPr>
          <t>、</t>
        </r>
        <r>
          <rPr>
            <sz val="10"/>
            <color rgb="FF000000"/>
            <rFont val="Microsoft YaHei UI"/>
            <family val="2"/>
            <charset val="134"/>
          </rPr>
          <t>20%</t>
        </r>
        <r>
          <rPr>
            <sz val="10"/>
            <color rgb="FF000000"/>
            <rFont val="Microsoft YaHei UI"/>
            <family val="2"/>
            <charset val="134"/>
          </rPr>
          <t>、</t>
        </r>
        <r>
          <rPr>
            <sz val="10"/>
            <color rgb="FF000000"/>
            <rFont val="Microsoft YaHei UI"/>
            <family val="2"/>
            <charset val="134"/>
          </rPr>
          <t>10%</t>
        </r>
        <r>
          <rPr>
            <sz val="10"/>
            <color rgb="FF000000"/>
            <rFont val="Microsoft YaHei UI"/>
            <family val="2"/>
            <charset val="134"/>
          </rPr>
          <t>,</t>
        </r>
        <r>
          <rPr>
            <sz val="10"/>
            <color rgb="FF000000"/>
            <rFont val="Microsoft YaHei UI"/>
            <family val="2"/>
            <charset val="134"/>
          </rPr>
          <t>最后一名减</t>
        </r>
        <r>
          <rPr>
            <sz val="10"/>
            <color rgb="FF000000"/>
            <rFont val="宋体"/>
            <family val="3"/>
            <charset val="134"/>
          </rPr>
          <t>20%</t>
        </r>
      </text>
    </comment>
    <comment ref="AN17" authorId="3" shapeId="0" xr:uid="{6E13C70F-95C9-784E-8845-EC46506C8CE8}">
      <text>
        <r>
          <rPr>
            <sz val="12"/>
            <color rgb="FF000000"/>
            <rFont val="宋体"/>
            <family val="3"/>
            <charset val="134"/>
          </rPr>
          <t>流失新的计算方式</t>
        </r>
        <r>
          <rPr>
            <sz val="12"/>
            <color rgb="FF000000"/>
            <rFont val="宋体"/>
            <family val="3"/>
            <charset val="134"/>
          </rPr>
          <t xml:space="preserve">
</t>
        </r>
        <r>
          <rPr>
            <sz val="12"/>
            <color rgb="FF000000"/>
            <rFont val="宋体"/>
            <family val="3"/>
            <charset val="134"/>
          </rPr>
          <t>一、</t>
        </r>
        <r>
          <rPr>
            <sz val="12"/>
            <color rgb="FF000000"/>
            <rFont val="宋体"/>
            <family val="3"/>
            <charset val="134"/>
          </rPr>
          <t>2</t>
        </r>
        <r>
          <rPr>
            <sz val="12"/>
            <color rgb="FF000000"/>
            <rFont val="宋体"/>
            <family val="3"/>
            <charset val="134"/>
          </rPr>
          <t>个以下的流失按照入职</t>
        </r>
        <r>
          <rPr>
            <sz val="12"/>
            <color rgb="FF000000"/>
            <rFont val="宋体"/>
            <family val="3"/>
            <charset val="134"/>
          </rPr>
          <t>1</t>
        </r>
        <r>
          <rPr>
            <sz val="12"/>
            <color rgb="FF000000"/>
            <rFont val="宋体"/>
            <family val="3"/>
            <charset val="134"/>
          </rPr>
          <t>年以上</t>
        </r>
        <r>
          <rPr>
            <sz val="12"/>
            <color rgb="FF000000"/>
            <rFont val="宋体"/>
            <family val="3"/>
            <charset val="134"/>
          </rPr>
          <t>150</t>
        </r>
        <r>
          <rPr>
            <sz val="12"/>
            <color rgb="FF000000"/>
            <rFont val="宋体"/>
            <family val="3"/>
            <charset val="134"/>
          </rPr>
          <t>元</t>
        </r>
        <r>
          <rPr>
            <sz val="12"/>
            <color rgb="FF000000"/>
            <rFont val="宋体"/>
            <family val="3"/>
            <charset val="134"/>
          </rPr>
          <t>/</t>
        </r>
        <r>
          <rPr>
            <sz val="12"/>
            <color rgb="FF000000"/>
            <rFont val="宋体"/>
            <family val="3"/>
            <charset val="134"/>
          </rPr>
          <t>个，入职</t>
        </r>
        <r>
          <rPr>
            <sz val="12"/>
            <color rgb="FF000000"/>
            <rFont val="宋体"/>
            <family val="3"/>
            <charset val="134"/>
          </rPr>
          <t>1</t>
        </r>
        <r>
          <rPr>
            <sz val="12"/>
            <color rgb="FF000000"/>
            <rFont val="宋体"/>
            <family val="3"/>
            <charset val="134"/>
          </rPr>
          <t>年以下</t>
        </r>
        <r>
          <rPr>
            <sz val="12"/>
            <color rgb="FF000000"/>
            <rFont val="宋体"/>
            <family val="3"/>
            <charset val="134"/>
          </rPr>
          <t>100</t>
        </r>
        <r>
          <rPr>
            <sz val="12"/>
            <color rgb="FF000000"/>
            <rFont val="宋体"/>
            <family val="3"/>
            <charset val="134"/>
          </rPr>
          <t>元</t>
        </r>
        <r>
          <rPr>
            <sz val="12"/>
            <color rgb="FF000000"/>
            <rFont val="宋体"/>
            <family val="3"/>
            <charset val="134"/>
          </rPr>
          <t>/</t>
        </r>
        <r>
          <rPr>
            <sz val="12"/>
            <color rgb="FF000000"/>
            <rFont val="宋体"/>
            <family val="3"/>
            <charset val="134"/>
          </rPr>
          <t>个。</t>
        </r>
        <r>
          <rPr>
            <sz val="12"/>
            <color rgb="FF000000"/>
            <rFont val="宋体"/>
            <family val="3"/>
            <charset val="134"/>
          </rPr>
          <t xml:space="preserve">
</t>
        </r>
        <r>
          <rPr>
            <sz val="12"/>
            <color rgb="FF000000"/>
            <rFont val="宋体"/>
            <family val="3"/>
            <charset val="134"/>
          </rPr>
          <t>二、</t>
        </r>
        <r>
          <rPr>
            <sz val="12"/>
            <color rgb="FF000000"/>
            <rFont val="宋体"/>
            <family val="3"/>
            <charset val="134"/>
          </rPr>
          <t>2</t>
        </r>
        <r>
          <rPr>
            <sz val="12"/>
            <color rgb="FF000000"/>
            <rFont val="宋体"/>
            <family val="3"/>
            <charset val="134"/>
          </rPr>
          <t>个及</t>
        </r>
        <r>
          <rPr>
            <sz val="12"/>
            <color rgb="FF000000"/>
            <rFont val="宋体"/>
            <family val="3"/>
            <charset val="134"/>
          </rPr>
          <t>2</t>
        </r>
        <r>
          <rPr>
            <sz val="12"/>
            <color rgb="FF000000"/>
            <rFont val="宋体"/>
            <family val="3"/>
            <charset val="134"/>
          </rPr>
          <t>个以上的流失，第</t>
        </r>
        <r>
          <rPr>
            <sz val="12"/>
            <color rgb="FF000000"/>
            <rFont val="宋体"/>
            <family val="3"/>
            <charset val="134"/>
          </rPr>
          <t>1</t>
        </r>
        <r>
          <rPr>
            <sz val="12"/>
            <color rgb="FF000000"/>
            <rFont val="宋体"/>
            <family val="3"/>
            <charset val="134"/>
          </rPr>
          <t>个流失按照第一条计算，第</t>
        </r>
        <r>
          <rPr>
            <sz val="12"/>
            <color rgb="FF000000"/>
            <rFont val="宋体"/>
            <family val="3"/>
            <charset val="134"/>
          </rPr>
          <t>2</t>
        </r>
        <r>
          <rPr>
            <sz val="12"/>
            <color rgb="FF000000"/>
            <rFont val="宋体"/>
            <family val="3"/>
            <charset val="134"/>
          </rPr>
          <t>个及以上的部分按照绩效最优项进行扣减绩效，技能工资不影响：印前：</t>
        </r>
        <r>
          <rPr>
            <sz val="12"/>
            <color rgb="FF000000"/>
            <rFont val="宋体"/>
            <family val="3"/>
            <charset val="134"/>
          </rPr>
          <t>10</t>
        </r>
        <r>
          <rPr>
            <sz val="12"/>
            <color rgb="FF000000"/>
            <rFont val="宋体"/>
            <family val="3"/>
            <charset val="134"/>
          </rPr>
          <t>万；印中：</t>
        </r>
        <r>
          <rPr>
            <sz val="12"/>
            <color rgb="FF000000"/>
            <rFont val="宋体"/>
            <family val="3"/>
            <charset val="134"/>
          </rPr>
          <t>8</t>
        </r>
        <r>
          <rPr>
            <sz val="12"/>
            <color rgb="FF000000"/>
            <rFont val="宋体"/>
            <family val="3"/>
            <charset val="134"/>
          </rPr>
          <t>万；印后：</t>
        </r>
        <r>
          <rPr>
            <sz val="12"/>
            <color rgb="FF000000"/>
            <rFont val="宋体"/>
            <family val="3"/>
            <charset val="134"/>
          </rPr>
          <t>15</t>
        </r>
        <r>
          <rPr>
            <sz val="12"/>
            <color rgb="FF000000"/>
            <rFont val="宋体"/>
            <family val="3"/>
            <charset val="134"/>
          </rPr>
          <t>万；同时扣减不低于</t>
        </r>
        <r>
          <rPr>
            <sz val="12"/>
            <color rgb="FF000000"/>
            <rFont val="宋体"/>
            <family val="3"/>
            <charset val="134"/>
          </rPr>
          <t>300</t>
        </r>
        <r>
          <rPr>
            <sz val="12"/>
            <color rgb="FF000000"/>
            <rFont val="宋体"/>
            <family val="3"/>
            <charset val="134"/>
          </rPr>
          <t>元，不高于</t>
        </r>
        <r>
          <rPr>
            <sz val="12"/>
            <color rgb="FF000000"/>
            <rFont val="宋体"/>
            <family val="3"/>
            <charset val="134"/>
          </rPr>
          <t>500</t>
        </r>
        <r>
          <rPr>
            <sz val="12"/>
            <color rgb="FF000000"/>
            <rFont val="宋体"/>
            <family val="3"/>
            <charset val="134"/>
          </rPr>
          <t>元。</t>
        </r>
        <r>
          <rPr>
            <sz val="12"/>
            <color rgb="FF000000"/>
            <rFont val="宋体"/>
            <family val="3"/>
            <charset val="134"/>
          </rPr>
          <t xml:space="preserve">
</t>
        </r>
        <r>
          <rPr>
            <sz val="12"/>
            <color rgb="FF000000"/>
            <rFont val="宋体"/>
            <family val="3"/>
            <charset val="134"/>
          </rPr>
          <t>三、</t>
        </r>
        <r>
          <rPr>
            <sz val="12"/>
            <color rgb="FF000000"/>
            <rFont val="宋体"/>
            <family val="3"/>
            <charset val="134"/>
          </rPr>
          <t>3</t>
        </r>
        <r>
          <rPr>
            <sz val="12"/>
            <color rgb="FF000000"/>
            <rFont val="宋体"/>
            <family val="3"/>
            <charset val="134"/>
          </rPr>
          <t>个及</t>
        </r>
        <r>
          <rPr>
            <sz val="12"/>
            <color rgb="FF000000"/>
            <rFont val="宋体"/>
            <family val="3"/>
            <charset val="134"/>
          </rPr>
          <t>3</t>
        </r>
        <r>
          <rPr>
            <sz val="12"/>
            <color rgb="FF000000"/>
            <rFont val="宋体"/>
            <family val="3"/>
            <charset val="134"/>
          </rPr>
          <t>个以上的流失分为两种情况：</t>
        </r>
        <r>
          <rPr>
            <sz val="12"/>
            <color rgb="FF000000"/>
            <rFont val="宋体"/>
            <family val="3"/>
            <charset val="134"/>
          </rPr>
          <t xml:space="preserve">
</t>
        </r>
        <r>
          <rPr>
            <sz val="12"/>
            <color rgb="FF000000"/>
            <rFont val="宋体"/>
            <family val="3"/>
            <charset val="134"/>
          </rPr>
          <t xml:space="preserve">    1</t>
        </r>
        <r>
          <rPr>
            <sz val="12"/>
            <color rgb="FF000000"/>
            <rFont val="宋体"/>
            <family val="3"/>
            <charset val="134"/>
          </rPr>
          <t>、不在轮岗中，取消全部绩效奖金，不影响技能工资，同时扣减不低于</t>
        </r>
        <r>
          <rPr>
            <sz val="12"/>
            <color rgb="FF000000"/>
            <rFont val="宋体"/>
            <family val="3"/>
            <charset val="134"/>
          </rPr>
          <t>450</t>
        </r>
        <r>
          <rPr>
            <sz val="12"/>
            <color rgb="FF000000"/>
            <rFont val="宋体"/>
            <family val="3"/>
            <charset val="134"/>
          </rPr>
          <t>元；</t>
        </r>
        <r>
          <rPr>
            <sz val="12"/>
            <color rgb="FF000000"/>
            <rFont val="宋体"/>
            <family val="3"/>
            <charset val="134"/>
          </rPr>
          <t xml:space="preserve">
</t>
        </r>
        <r>
          <rPr>
            <sz val="12"/>
            <color rgb="FF000000"/>
            <rFont val="宋体"/>
            <family val="3"/>
            <charset val="134"/>
          </rPr>
          <t xml:space="preserve">    2</t>
        </r>
        <r>
          <rPr>
            <sz val="12"/>
            <color rgb="FF000000"/>
            <rFont val="宋体"/>
            <family val="3"/>
            <charset val="134"/>
          </rPr>
          <t>、在轮岗中，即该技能未得通过认定之前（包含新员工），流失一个</t>
        </r>
        <r>
          <rPr>
            <sz val="12"/>
            <color rgb="FF000000"/>
            <rFont val="宋体"/>
            <family val="3"/>
            <charset val="134"/>
          </rPr>
          <t>100</t>
        </r>
        <r>
          <rPr>
            <sz val="12"/>
            <color rgb="FF000000"/>
            <rFont val="宋体"/>
            <family val="3"/>
            <charset val="134"/>
          </rPr>
          <t>元，按照个数计算，不参与绩效扣减。</t>
        </r>
        <r>
          <rPr>
            <sz val="12"/>
            <color rgb="FF000000"/>
            <rFont val="宋体"/>
            <family val="3"/>
            <charset val="134"/>
          </rPr>
          <t xml:space="preserve">
</t>
        </r>
        <r>
          <rPr>
            <sz val="12"/>
            <color rgb="FF000000"/>
            <rFont val="宋体"/>
            <family val="3"/>
            <charset val="134"/>
          </rPr>
          <t>四、</t>
        </r>
        <r>
          <rPr>
            <sz val="12"/>
            <color rgb="FF000000"/>
            <rFont val="宋体"/>
            <family val="3"/>
            <charset val="134"/>
          </rPr>
          <t>4</t>
        </r>
        <r>
          <rPr>
            <sz val="12"/>
            <color rgb="FF000000"/>
            <rFont val="宋体"/>
            <family val="3"/>
            <charset val="134"/>
          </rPr>
          <t>个以上的流失，绩效全部归零，同时技能工资是否在岗随绩效变化而变化，扣减费用不低于</t>
        </r>
        <r>
          <rPr>
            <sz val="12"/>
            <color rgb="FF000000"/>
            <rFont val="宋体"/>
            <family val="3"/>
            <charset val="134"/>
          </rPr>
          <t>600</t>
        </r>
        <r>
          <rPr>
            <sz val="12"/>
            <color rgb="FF000000"/>
            <rFont val="宋体"/>
            <family val="3"/>
            <charset val="134"/>
          </rPr>
          <t>元。</t>
        </r>
        <r>
          <rPr>
            <sz val="12"/>
            <color rgb="FF000000"/>
            <rFont val="宋体"/>
            <family val="3"/>
            <charset val="134"/>
          </rPr>
          <t xml:space="preserve">
</t>
        </r>
      </text>
    </comment>
    <comment ref="BR21" authorId="5" shapeId="0" xr:uid="{A187F2BA-4998-7D49-9BE8-C397C45E9370}">
      <text>
        <r>
          <rPr>
            <b/>
            <sz val="10"/>
            <color rgb="FF000000"/>
            <rFont val="Microsoft YaHei UI"/>
            <family val="2"/>
            <charset val="134"/>
          </rPr>
          <t>中央工厂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级：</t>
        </r>
        <r>
          <rPr>
            <sz val="10"/>
            <color rgb="FF000000"/>
            <rFont val="Microsoft YaHei UI"/>
            <family val="2"/>
            <charset val="134"/>
          </rPr>
          <t xml:space="preserve">50
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级</t>
        </r>
        <r>
          <rPr>
            <sz val="10"/>
            <color rgb="FF000000"/>
            <rFont val="Microsoft YaHei UI"/>
            <family val="2"/>
            <charset val="134"/>
          </rPr>
          <t xml:space="preserve">:100
</t>
        </r>
        <r>
          <rPr>
            <sz val="10"/>
            <color rgb="FF000000"/>
            <rFont val="Microsoft YaHei UI"/>
            <family val="2"/>
            <charset val="134"/>
          </rPr>
          <t>3</t>
        </r>
        <r>
          <rPr>
            <sz val="10"/>
            <color rgb="FF000000"/>
            <rFont val="Microsoft YaHei UI"/>
            <family val="2"/>
            <charset val="134"/>
          </rPr>
          <t>级：</t>
        </r>
        <r>
          <rPr>
            <sz val="10"/>
            <color rgb="FF000000"/>
            <rFont val="Microsoft YaHei UI"/>
            <family val="2"/>
            <charset val="134"/>
          </rPr>
          <t xml:space="preserve">200
</t>
        </r>
      </text>
    </comment>
    <comment ref="BT21" authorId="5" shapeId="0" xr:uid="{BD7914E3-C84D-4247-9FC9-05121B81B82E}">
      <text>
        <r>
          <rPr>
            <b/>
            <sz val="10"/>
            <color rgb="FF000000"/>
            <rFont val="Microsoft YaHei UI"/>
            <family val="2"/>
            <charset val="134"/>
          </rPr>
          <t>中央工厂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级：</t>
        </r>
        <r>
          <rPr>
            <sz val="10"/>
            <color rgb="FF000000"/>
            <rFont val="Microsoft YaHei UI"/>
            <family val="2"/>
            <charset val="134"/>
          </rPr>
          <t xml:space="preserve">50
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级</t>
        </r>
        <r>
          <rPr>
            <sz val="10"/>
            <color rgb="FF000000"/>
            <rFont val="Microsoft YaHei UI"/>
            <family val="2"/>
            <charset val="134"/>
          </rPr>
          <t xml:space="preserve">:100
</t>
        </r>
        <r>
          <rPr>
            <sz val="10"/>
            <color rgb="FF000000"/>
            <rFont val="Microsoft YaHei UI"/>
            <family val="2"/>
            <charset val="134"/>
          </rPr>
          <t>3</t>
        </r>
        <r>
          <rPr>
            <sz val="10"/>
            <color rgb="FF000000"/>
            <rFont val="Microsoft YaHei UI"/>
            <family val="2"/>
            <charset val="134"/>
          </rPr>
          <t>级：</t>
        </r>
        <r>
          <rPr>
            <sz val="10"/>
            <color rgb="FF000000"/>
            <rFont val="Microsoft YaHei UI"/>
            <family val="2"/>
            <charset val="134"/>
          </rPr>
          <t xml:space="preserve">200
</t>
        </r>
      </text>
    </comment>
    <comment ref="BU21" authorId="5" shapeId="0" xr:uid="{C8322F13-9CBE-A74F-B847-C974012F191B}">
      <text>
        <r>
          <rPr>
            <b/>
            <sz val="10"/>
            <color rgb="FF000000"/>
            <rFont val="Microsoft YaHei UI"/>
            <family val="2"/>
            <charset val="134"/>
          </rPr>
          <t>中央工厂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级：</t>
        </r>
        <r>
          <rPr>
            <sz val="10"/>
            <color rgb="FF000000"/>
            <rFont val="Microsoft YaHei UI"/>
            <family val="2"/>
            <charset val="134"/>
          </rPr>
          <t xml:space="preserve">50
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级</t>
        </r>
        <r>
          <rPr>
            <sz val="10"/>
            <color rgb="FF000000"/>
            <rFont val="Microsoft YaHei UI"/>
            <family val="2"/>
            <charset val="134"/>
          </rPr>
          <t xml:space="preserve">:100
</t>
        </r>
        <r>
          <rPr>
            <sz val="10"/>
            <color rgb="FF000000"/>
            <rFont val="Microsoft YaHei UI"/>
            <family val="2"/>
            <charset val="134"/>
          </rPr>
          <t>3</t>
        </r>
        <r>
          <rPr>
            <sz val="10"/>
            <color rgb="FF000000"/>
            <rFont val="Microsoft YaHei UI"/>
            <family val="2"/>
            <charset val="134"/>
          </rPr>
          <t>级：</t>
        </r>
        <r>
          <rPr>
            <sz val="10"/>
            <color rgb="FF000000"/>
            <rFont val="Microsoft YaHei UI"/>
            <family val="2"/>
            <charset val="134"/>
          </rPr>
          <t xml:space="preserve">200
</t>
        </r>
      </text>
    </comment>
    <comment ref="BV21" authorId="5" shapeId="0" xr:uid="{FF72FABD-C5E5-2C4C-8CBF-A03BD432D3A0}">
      <text>
        <r>
          <rPr>
            <b/>
            <sz val="10"/>
            <color rgb="FF000000"/>
            <rFont val="Microsoft YaHei UI"/>
            <family val="2"/>
            <charset val="134"/>
          </rPr>
          <t>中央工厂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级：</t>
        </r>
        <r>
          <rPr>
            <sz val="10"/>
            <color rgb="FF000000"/>
            <rFont val="Microsoft YaHei UI"/>
            <family val="2"/>
            <charset val="134"/>
          </rPr>
          <t xml:space="preserve">100
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级</t>
        </r>
        <r>
          <rPr>
            <sz val="10"/>
            <color rgb="FF000000"/>
            <rFont val="Microsoft YaHei UI"/>
            <family val="2"/>
            <charset val="134"/>
          </rPr>
          <t xml:space="preserve">:200
</t>
        </r>
        <r>
          <rPr>
            <sz val="10"/>
            <color rgb="FF000000"/>
            <rFont val="Microsoft YaHei UI"/>
            <family val="2"/>
            <charset val="134"/>
          </rPr>
          <t>3</t>
        </r>
        <r>
          <rPr>
            <sz val="10"/>
            <color rgb="FF000000"/>
            <rFont val="Microsoft YaHei UI"/>
            <family val="2"/>
            <charset val="134"/>
          </rPr>
          <t>级：</t>
        </r>
        <r>
          <rPr>
            <sz val="10"/>
            <color rgb="FF000000"/>
            <rFont val="Microsoft YaHei UI"/>
            <family val="2"/>
            <charset val="134"/>
          </rPr>
          <t xml:space="preserve">300
</t>
        </r>
        <r>
          <rPr>
            <sz val="10"/>
            <color rgb="FF000000"/>
            <rFont val="Microsoft YaHei UI"/>
            <family val="2"/>
            <charset val="134"/>
          </rPr>
          <t>4</t>
        </r>
        <r>
          <rPr>
            <sz val="10"/>
            <color rgb="FF000000"/>
            <rFont val="Microsoft YaHei UI"/>
            <family val="2"/>
            <charset val="134"/>
          </rPr>
          <t>级：</t>
        </r>
        <r>
          <rPr>
            <sz val="10"/>
            <color rgb="FF000000"/>
            <rFont val="Microsoft YaHei UI"/>
            <family val="2"/>
            <charset val="134"/>
          </rPr>
          <t xml:space="preserve">400
</t>
        </r>
      </text>
    </comment>
    <comment ref="S25" authorId="4" shapeId="0" xr:uid="{313D35E2-BD98-5542-8E56-EF3BD2F77F14}">
      <text>
        <r>
          <rPr>
            <b/>
            <sz val="10"/>
            <color rgb="FF000000"/>
            <rFont val="Microsoft YaHei UI"/>
            <family val="2"/>
            <charset val="134"/>
          </rPr>
          <t>田凤娟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每个月看下单量超过</t>
        </r>
        <r>
          <rPr>
            <sz val="10"/>
            <color rgb="FF000000"/>
            <rFont val="Microsoft YaHei UI"/>
            <family val="2"/>
            <charset val="134"/>
          </rPr>
          <t>200</t>
        </r>
        <r>
          <rPr>
            <sz val="10"/>
            <color rgb="FF000000"/>
            <rFont val="Microsoft YaHei UI"/>
            <family val="2"/>
            <charset val="134"/>
          </rPr>
          <t>个调整为在岗</t>
        </r>
      </text>
    </comment>
    <comment ref="E26" authorId="5" shapeId="0" xr:uid="{8080FABE-1630-754C-9402-4A3D5D2BBE91}">
      <text>
        <r>
          <rPr>
            <b/>
            <sz val="10"/>
            <color rgb="FF000000"/>
            <rFont val="Microsoft YaHei UI"/>
            <family val="2"/>
            <charset val="134"/>
          </rPr>
          <t>中央工厂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因为盒子的刀板没有过，所以暂时给不在岗</t>
        </r>
      </text>
    </comment>
    <comment ref="AK29" authorId="5" shapeId="0" xr:uid="{C0ACEDA6-A7AA-8C42-829E-6D989A5526A3}">
      <text>
        <r>
          <rPr>
            <b/>
            <sz val="10"/>
            <color rgb="FF000000"/>
            <rFont val="Microsoft YaHei UI"/>
            <family val="2"/>
            <charset val="134"/>
          </rPr>
          <t>中央工厂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注意炒业绩的情况</t>
        </r>
      </text>
    </comment>
    <comment ref="T38" authorId="4" shapeId="0" xr:uid="{DBD6D199-6FB2-5245-B7DA-7F0CC15FFDE5}">
      <text>
        <r>
          <rPr>
            <b/>
            <sz val="10"/>
            <color rgb="FF000000"/>
            <rFont val="Microsoft YaHei UI"/>
            <family val="2"/>
            <charset val="134"/>
          </rPr>
          <t>田凤娟</t>
        </r>
        <r>
          <rPr>
            <b/>
            <sz val="10"/>
            <color rgb="FF000000"/>
            <rFont val="Microsoft YaHei UI"/>
            <family val="2"/>
            <charset val="134"/>
          </rPr>
          <t>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订单超过</t>
        </r>
        <r>
          <rPr>
            <sz val="10"/>
            <color rgb="FF000000"/>
            <rFont val="Microsoft YaHei UI"/>
            <family val="2"/>
            <charset val="134"/>
          </rPr>
          <t>500</t>
        </r>
        <r>
          <rPr>
            <sz val="10"/>
            <color rgb="FF000000"/>
            <rFont val="Microsoft YaHei UI"/>
            <family val="2"/>
            <charset val="134"/>
          </rPr>
          <t>在岗</t>
        </r>
      </text>
    </comment>
  </commentList>
</comments>
</file>

<file path=xl/sharedStrings.xml><?xml version="1.0" encoding="utf-8"?>
<sst xmlns="http://schemas.openxmlformats.org/spreadsheetml/2006/main" count="413" uniqueCount="235">
  <si>
    <t>11月星光、中央工厂业绩计算表格</t>
    <phoneticPr fontId="4" type="noConversion"/>
  </si>
  <si>
    <t>全员轮岗</t>
  </si>
  <si>
    <t>技能考核+绩效量</t>
  </si>
  <si>
    <t>微店岗位
资格</t>
  </si>
  <si>
    <t>不在岗
技能奖金</t>
  </si>
  <si>
    <t>在岗1周以上
满足基本量
技能奖金</t>
  </si>
  <si>
    <t>绩效起数
在岗判定</t>
  </si>
  <si>
    <t>专职</t>
  </si>
  <si>
    <t>5-10万</t>
  </si>
  <si>
    <t>10-20万</t>
  </si>
  <si>
    <t>20-30万</t>
  </si>
  <si>
    <t>30-40万</t>
  </si>
  <si>
    <t>40-50万</t>
  </si>
  <si>
    <t>50-60万</t>
  </si>
  <si>
    <t>60-70</t>
  </si>
  <si>
    <t>前台1星</t>
  </si>
  <si>
    <t>送货1星</t>
  </si>
  <si>
    <t>总业绩</t>
  </si>
  <si>
    <t>送货单人奖0.5</t>
  </si>
  <si>
    <t>送货人数</t>
  </si>
  <si>
    <t>管理提成</t>
    <phoneticPr fontId="4" type="noConversion"/>
  </si>
  <si>
    <t>主管印前封顶</t>
  </si>
  <si>
    <t>前台2星</t>
  </si>
  <si>
    <t>送货2星</t>
  </si>
  <si>
    <t>提成系数</t>
  </si>
  <si>
    <t>前台单人奖0.2</t>
  </si>
  <si>
    <t>前台人数</t>
  </si>
  <si>
    <t>主管印中封顶</t>
  </si>
  <si>
    <t>前台3星</t>
  </si>
  <si>
    <t>送货3星</t>
  </si>
  <si>
    <t>总提成额</t>
  </si>
  <si>
    <t>管理提成0.3</t>
  </si>
  <si>
    <r>
      <t>陈补</t>
    </r>
    <r>
      <rPr>
        <sz val="16"/>
        <color theme="0"/>
        <rFont val="宋体"/>
        <family val="3"/>
        <charset val="134"/>
      </rPr>
      <t>（1月按实际业绩的0.1%折算，次月记得删除减数）</t>
    </r>
    <phoneticPr fontId="4" type="noConversion"/>
  </si>
  <si>
    <t>主管印后封顶</t>
  </si>
  <si>
    <t>前台4星</t>
  </si>
  <si>
    <t>星光：店面废品流失率为：0.00%，                                                                                    废单4个，客户发现0个，同期订单数：380个；问题订单金额：1830元，同期营业额：98325</t>
    <phoneticPr fontId="4" type="noConversion"/>
  </si>
  <si>
    <t>积分奖金支出</t>
    <phoneticPr fontId="4" type="noConversion"/>
  </si>
  <si>
    <t>员工封顶</t>
  </si>
  <si>
    <t>全程1星</t>
  </si>
  <si>
    <t>中央工厂：店面废品流失率为：0.00%，                                                                   废单27个， 客户发现0个，同期订单数1867个；问题订单金额：4651元，同期营业额：392984</t>
    <phoneticPr fontId="4" type="noConversion"/>
  </si>
  <si>
    <t>黄静波</t>
    <phoneticPr fontId="4" type="noConversion"/>
  </si>
  <si>
    <t>印前标准化</t>
  </si>
  <si>
    <t>文本标准化PDF</t>
  </si>
  <si>
    <t>店长/值班经理</t>
  </si>
  <si>
    <t>A1</t>
  </si>
  <si>
    <t>全程2星</t>
  </si>
  <si>
    <t>赵健</t>
    <phoneticPr fontId="4" type="noConversion"/>
  </si>
  <si>
    <t>基础CAD标准化PDF</t>
  </si>
  <si>
    <t>A2</t>
  </si>
  <si>
    <t>全程3星</t>
  </si>
  <si>
    <t>1星</t>
  </si>
  <si>
    <t>陈调节使用</t>
    <phoneticPr fontId="4" type="noConversion"/>
  </si>
  <si>
    <t>高级CAD标准化PDF</t>
  </si>
  <si>
    <t>值班经理</t>
  </si>
  <si>
    <t>A3</t>
  </si>
  <si>
    <t>全程4星</t>
  </si>
  <si>
    <t>2星</t>
  </si>
  <si>
    <t>印前</t>
    <phoneticPr fontId="4" type="noConversion"/>
  </si>
  <si>
    <t>印中</t>
    <phoneticPr fontId="4" type="noConversion"/>
  </si>
  <si>
    <t>印后</t>
    <phoneticPr fontId="4" type="noConversion"/>
  </si>
  <si>
    <t>前台</t>
    <phoneticPr fontId="4" type="noConversion"/>
  </si>
  <si>
    <t>人员绩效统计表</t>
  </si>
  <si>
    <t>基础仿制设计</t>
  </si>
  <si>
    <t>提成</t>
  </si>
  <si>
    <t>A4</t>
  </si>
  <si>
    <t>后期1星</t>
  </si>
  <si>
    <t>3星</t>
  </si>
  <si>
    <t>姓名</t>
  </si>
  <si>
    <t>文本标准化</t>
  </si>
  <si>
    <t>基础CAD标准化</t>
  </si>
  <si>
    <t>高级CAD标准化</t>
  </si>
  <si>
    <t>初级仿制</t>
  </si>
  <si>
    <t>操机打印</t>
  </si>
  <si>
    <t>设备维护</t>
  </si>
  <si>
    <t>图纸处理</t>
  </si>
  <si>
    <t>简装精装</t>
  </si>
  <si>
    <t>特殊工艺</t>
  </si>
  <si>
    <t>接待票据</t>
  </si>
  <si>
    <t>图纸商务业务</t>
  </si>
  <si>
    <t>印刷业务</t>
  </si>
  <si>
    <t>广告业务</t>
  </si>
  <si>
    <t>管理调配</t>
  </si>
  <si>
    <t>送货推广</t>
  </si>
  <si>
    <t>技能奖金</t>
  </si>
  <si>
    <t>印前分值</t>
  </si>
  <si>
    <t>印前有效分值</t>
  </si>
  <si>
    <t>印前奖金</t>
  </si>
  <si>
    <t>印中分值</t>
  </si>
  <si>
    <t>印中有效分值</t>
  </si>
  <si>
    <t>印中奖金</t>
  </si>
  <si>
    <t>印后分值</t>
  </si>
  <si>
    <t>印后有效分值</t>
  </si>
  <si>
    <t>印后奖金</t>
  </si>
  <si>
    <t>绩效奖金</t>
  </si>
  <si>
    <t>流失扣减</t>
  </si>
  <si>
    <t>绩效合计</t>
  </si>
  <si>
    <t>积分奖励</t>
    <phoneticPr fontId="4" type="noConversion"/>
  </si>
  <si>
    <t>杨君</t>
    <phoneticPr fontId="4" type="noConversion"/>
  </si>
  <si>
    <t>超业绩奖金</t>
  </si>
  <si>
    <t>喷印工厂业绩的0.1%</t>
  </si>
  <si>
    <t>印中输出</t>
  </si>
  <si>
    <t>点源标准文件打印</t>
  </si>
  <si>
    <t>B1</t>
  </si>
  <si>
    <t>后期2星</t>
  </si>
  <si>
    <t>李林</t>
  </si>
  <si>
    <t>技能专家</t>
  </si>
  <si>
    <t>B2</t>
  </si>
  <si>
    <t>后期3星</t>
  </si>
  <si>
    <t>龙永军</t>
  </si>
  <si>
    <t>印后加工</t>
  </si>
  <si>
    <t>C1</t>
  </si>
  <si>
    <t>400-1600</t>
  </si>
  <si>
    <t>徐元禄</t>
  </si>
  <si>
    <t>C2</t>
  </si>
  <si>
    <t>徐家海</t>
  </si>
  <si>
    <t>C3</t>
  </si>
  <si>
    <t>前台接待</t>
  </si>
  <si>
    <t>接待、下单、收银、
开票、单据、会员推广</t>
  </si>
  <si>
    <t>R1</t>
  </si>
  <si>
    <t>结算收银
200个起</t>
  </si>
  <si>
    <t>200-1200</t>
  </si>
  <si>
    <t>印前</t>
    <phoneticPr fontId="2" type="noConversion"/>
  </si>
  <si>
    <t>印中</t>
    <phoneticPr fontId="2" type="noConversion"/>
  </si>
  <si>
    <t>印后</t>
    <phoneticPr fontId="2" type="noConversion"/>
  </si>
  <si>
    <t>材料熟悉</t>
    <phoneticPr fontId="2" type="noConversion"/>
  </si>
  <si>
    <t>前台接待</t>
    <phoneticPr fontId="2" type="noConversion"/>
  </si>
  <si>
    <t>前台报价</t>
    <phoneticPr fontId="2" type="noConversion"/>
  </si>
  <si>
    <t>前台业务洽谈</t>
    <phoneticPr fontId="2" type="noConversion"/>
  </si>
  <si>
    <t>供应链</t>
    <phoneticPr fontId="2" type="noConversion"/>
  </si>
  <si>
    <t>送货</t>
    <phoneticPr fontId="2" type="noConversion"/>
  </si>
  <si>
    <t>技能合计</t>
    <phoneticPr fontId="2" type="noConversion"/>
  </si>
  <si>
    <t>CAD导pdf</t>
    <phoneticPr fontId="2" type="noConversion"/>
  </si>
  <si>
    <t>拼板</t>
    <phoneticPr fontId="2" type="noConversion"/>
  </si>
  <si>
    <t>特殊装订文本</t>
    <phoneticPr fontId="2" type="noConversion"/>
  </si>
  <si>
    <t>刀板</t>
    <phoneticPr fontId="2" type="noConversion"/>
  </si>
  <si>
    <t>初级仿制</t>
    <phoneticPr fontId="2" type="noConversion"/>
  </si>
  <si>
    <t>文本</t>
    <phoneticPr fontId="2" type="noConversion"/>
  </si>
  <si>
    <t>图纸</t>
    <phoneticPr fontId="2" type="noConversion"/>
  </si>
  <si>
    <t>软装</t>
    <phoneticPr fontId="2" type="noConversion"/>
  </si>
  <si>
    <t>裁切</t>
    <phoneticPr fontId="2" type="noConversion"/>
  </si>
  <si>
    <t>硬装</t>
    <phoneticPr fontId="2" type="noConversion"/>
  </si>
  <si>
    <t>设备简单处理</t>
    <phoneticPr fontId="2" type="noConversion"/>
  </si>
  <si>
    <t>纸张</t>
    <phoneticPr fontId="2" type="noConversion"/>
  </si>
  <si>
    <t>工艺材料</t>
    <phoneticPr fontId="2" type="noConversion"/>
  </si>
  <si>
    <t>常用包装材料</t>
    <phoneticPr fontId="2" type="noConversion"/>
  </si>
  <si>
    <t>网络/现场接单</t>
    <phoneticPr fontId="2" type="noConversion"/>
  </si>
  <si>
    <t>收银结算开票</t>
    <phoneticPr fontId="2" type="noConversion"/>
  </si>
  <si>
    <t>特殊工艺/材料/包装等</t>
    <phoneticPr fontId="2" type="noConversion"/>
  </si>
  <si>
    <t>快印物料</t>
    <phoneticPr fontId="2" type="noConversion"/>
  </si>
  <si>
    <t>图纸业务</t>
    <phoneticPr fontId="2" type="noConversion"/>
  </si>
  <si>
    <t>商务业务</t>
    <phoneticPr fontId="2" type="noConversion"/>
  </si>
  <si>
    <t>印刷/快印业务</t>
    <phoneticPr fontId="2" type="noConversion"/>
  </si>
  <si>
    <t>绩效奖金</t>
    <phoneticPr fontId="2" type="noConversion"/>
  </si>
  <si>
    <t>积分奖金</t>
    <phoneticPr fontId="2" type="noConversion"/>
  </si>
  <si>
    <t>个人绩效合计</t>
    <phoneticPr fontId="2" type="noConversion"/>
  </si>
  <si>
    <t>陈晓乾</t>
    <phoneticPr fontId="2" type="noConversion"/>
  </si>
  <si>
    <t>11月积分排名表（11.1-11.30）</t>
  </si>
  <si>
    <t>周行</t>
    <phoneticPr fontId="2" type="noConversion"/>
  </si>
  <si>
    <t>基础积分</t>
  </si>
  <si>
    <t>基础积分加减</t>
  </si>
  <si>
    <t>团队积分</t>
  </si>
  <si>
    <t>合计</t>
  </si>
  <si>
    <t>曾雲</t>
  </si>
  <si>
    <t>黄荣华</t>
  </si>
  <si>
    <t>200个订单起</t>
    <phoneticPr fontId="2" type="noConversion"/>
  </si>
  <si>
    <t>韩思逸</t>
    <phoneticPr fontId="4" type="noConversion"/>
  </si>
  <si>
    <t>周浪</t>
  </si>
  <si>
    <t>每月考核一次，通过不在岗，通过且当月有订单，在岗，连续两次未通过取消重考</t>
    <phoneticPr fontId="2" type="noConversion"/>
  </si>
  <si>
    <t>黄静波</t>
  </si>
  <si>
    <t>起步值</t>
    <phoneticPr fontId="2" type="noConversion"/>
  </si>
  <si>
    <t>林芝</t>
  </si>
  <si>
    <t>韩思逸</t>
  </si>
  <si>
    <t>5-10万</t>
    <phoneticPr fontId="2" type="noConversion"/>
  </si>
  <si>
    <t>陈丹枫</t>
  </si>
  <si>
    <t>黄莎</t>
  </si>
  <si>
    <t>绩效数据</t>
    <phoneticPr fontId="4" type="noConversion"/>
  </si>
  <si>
    <t>绩效奖金</t>
    <phoneticPr fontId="4" type="noConversion"/>
  </si>
  <si>
    <t>曾云</t>
  </si>
  <si>
    <t>晏丽</t>
    <phoneticPr fontId="4" type="noConversion"/>
  </si>
  <si>
    <t>周浪</t>
    <phoneticPr fontId="4" type="noConversion"/>
  </si>
  <si>
    <t>晏丽</t>
  </si>
  <si>
    <t>张燕飞</t>
  </si>
  <si>
    <t>彭春春</t>
  </si>
  <si>
    <t>田凤娟</t>
  </si>
  <si>
    <t>陈晓乾</t>
  </si>
  <si>
    <t>黄莎</t>
    <phoneticPr fontId="4" type="noConversion"/>
  </si>
  <si>
    <t>郜一哲</t>
  </si>
  <si>
    <t>赵健</t>
  </si>
  <si>
    <t>张磊</t>
    <phoneticPr fontId="4" type="noConversion"/>
  </si>
  <si>
    <t>周行</t>
  </si>
  <si>
    <t>印前</t>
  </si>
  <si>
    <t>机器日常维护+简单维修</t>
  </si>
  <si>
    <t>前台</t>
  </si>
  <si>
    <t>岗位管理奖金</t>
  </si>
  <si>
    <t>外出安装</t>
    <phoneticPr fontId="2" type="noConversion"/>
  </si>
  <si>
    <t>写真类</t>
    <phoneticPr fontId="4" type="noConversion"/>
  </si>
  <si>
    <t>平板</t>
    <phoneticPr fontId="4" type="noConversion"/>
  </si>
  <si>
    <t>定制类</t>
    <phoneticPr fontId="4" type="noConversion"/>
  </si>
  <si>
    <t>cdr/pdf导图</t>
  </si>
  <si>
    <t>AI导图</t>
  </si>
  <si>
    <t>文件拼版及生成刀版</t>
  </si>
  <si>
    <t>cdr简单排版（核定）</t>
    <phoneticPr fontId="4" type="noConversion"/>
  </si>
  <si>
    <t>发图</t>
  </si>
  <si>
    <t>常规打印</t>
  </si>
  <si>
    <t>覆膜</t>
  </si>
  <si>
    <t>裱板</t>
  </si>
  <si>
    <t>雕刻</t>
  </si>
  <si>
    <t>木工拼版雕刻</t>
  </si>
  <si>
    <t>激光拼版雕刻</t>
  </si>
  <si>
    <t>后期粘接</t>
  </si>
  <si>
    <t>广告物料个性美陈组合</t>
  </si>
  <si>
    <t>全品类个性方案</t>
  </si>
  <si>
    <t>写真机器常规维护保养维修</t>
  </si>
  <si>
    <t>平板机器常规维护保养维修</t>
  </si>
  <si>
    <t>木工机器常规维护保养维修</t>
  </si>
  <si>
    <t>激光机器常规维护保养维修</t>
  </si>
  <si>
    <t>接单/网络现场</t>
  </si>
  <si>
    <t>票据整理</t>
  </si>
  <si>
    <t>广告物料报价</t>
  </si>
  <si>
    <t>数码印刷物料接单</t>
  </si>
  <si>
    <t>广告门头\定制类标识报价</t>
  </si>
  <si>
    <t>工厂生产内部管理</t>
  </si>
  <si>
    <t>个人流失</t>
    <phoneticPr fontId="4" type="noConversion"/>
  </si>
  <si>
    <t>合计奖金</t>
    <phoneticPr fontId="2" type="noConversion"/>
  </si>
  <si>
    <t>cdr简单排版</t>
  </si>
  <si>
    <t>杨君</t>
  </si>
  <si>
    <t>100元/天</t>
    <phoneticPr fontId="4" type="noConversion"/>
  </si>
  <si>
    <t>张lei</t>
  </si>
  <si>
    <t>200-800</t>
  </si>
  <si>
    <t>熊伟</t>
  </si>
  <si>
    <t>专职人员</t>
    <phoneticPr fontId="4" type="noConversion"/>
  </si>
  <si>
    <t>订单500个起</t>
    <phoneticPr fontId="4" type="noConversion"/>
  </si>
  <si>
    <t>刘福涛</t>
  </si>
  <si>
    <t>10-20万</t>
    <phoneticPr fontId="4" type="noConversion"/>
  </si>
  <si>
    <t>谢小林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</si>
</sst>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_ "/>
    <numFmt numFmtId="178" formatCode="0_ ;[Red]\-0\ "/>
    <numFmt numFmtId="179" formatCode="0.0_);[Red]\(0.0\)"/>
  </numFmts>
  <fonts count="25">
    <font>
      <sz val="12"/>
      <color theme="1"/>
      <name val="等线"/>
      <family val="2"/>
      <charset val="134"/>
      <scheme val="minor"/>
    </font>
    <font>
      <sz val="16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24"/>
      <color rgb="FF000000"/>
      <name val="宋体"/>
      <family val="3"/>
      <charset val="134"/>
    </font>
    <font>
      <sz val="9"/>
      <name val="宋体"/>
      <family val="3"/>
      <charset val="134"/>
    </font>
    <font>
      <sz val="16"/>
      <name val="宋体"/>
      <family val="3"/>
      <charset val="134"/>
    </font>
    <font>
      <sz val="16"/>
      <color indexed="8"/>
      <name val="宋体"/>
      <family val="3"/>
      <charset val="134"/>
    </font>
    <font>
      <b/>
      <sz val="24"/>
      <color rgb="FF000000"/>
      <name val="宋体"/>
      <family val="3"/>
      <charset val="134"/>
    </font>
    <font>
      <b/>
      <sz val="16"/>
      <color rgb="FF000000"/>
      <name val="宋体"/>
      <family val="3"/>
      <charset val="134"/>
    </font>
    <font>
      <sz val="24"/>
      <name val="宋体"/>
      <family val="3"/>
      <charset val="134"/>
    </font>
    <font>
      <sz val="16"/>
      <color theme="0"/>
      <name val="宋体"/>
      <family val="3"/>
      <charset val="134"/>
    </font>
    <font>
      <sz val="16"/>
      <color rgb="FFFF0000"/>
      <name val="宋体"/>
      <family val="3"/>
      <charset val="134"/>
    </font>
    <font>
      <b/>
      <sz val="16"/>
      <name val="宋体"/>
      <family val="3"/>
      <charset val="134"/>
    </font>
    <font>
      <b/>
      <sz val="16"/>
      <color theme="0"/>
      <name val="宋体"/>
      <family val="3"/>
      <charset val="134"/>
    </font>
    <font>
      <sz val="16"/>
      <color theme="1"/>
      <name val="宋体"/>
      <family val="3"/>
      <charset val="134"/>
    </font>
    <font>
      <sz val="18"/>
      <color rgb="FF000000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0"/>
      <color rgb="FF00000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4"/>
      <color rgb="FF000000"/>
      <name val="宋体"/>
      <family val="3"/>
      <charset val="134"/>
    </font>
    <font>
      <sz val="14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1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indexed="10"/>
        <bgColor indexed="64"/>
      </patternFill>
    </fill>
    <fill>
      <patternFill patternType="solid">
        <fgColor rgb="FFDDD9C3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2D69B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4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7" fontId="5" fillId="8" borderId="3" xfId="0" applyNumberFormat="1" applyFont="1" applyFill="1" applyBorder="1" applyAlignment="1">
      <alignment horizontal="left" vertical="center"/>
    </xf>
    <xf numFmtId="178" fontId="1" fillId="8" borderId="0" xfId="0" applyNumberFormat="1" applyFont="1" applyFill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8" fontId="1" fillId="8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176" fontId="3" fillId="0" borderId="0" xfId="0" applyNumberFormat="1" applyFont="1">
      <alignment vertical="center"/>
    </xf>
    <xf numFmtId="176" fontId="5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179" fontId="11" fillId="0" borderId="0" xfId="0" applyNumberFormat="1" applyFont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176" fontId="5" fillId="12" borderId="0" xfId="0" applyNumberFormat="1" applyFont="1" applyFill="1" applyAlignment="1">
      <alignment vertical="center" wrapText="1"/>
    </xf>
    <xf numFmtId="176" fontId="1" fillId="12" borderId="5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176" fontId="5" fillId="12" borderId="6" xfId="0" applyNumberFormat="1" applyFont="1" applyFill="1" applyBorder="1" applyAlignment="1">
      <alignment horizontal="center" vertical="center" wrapText="1"/>
    </xf>
    <xf numFmtId="176" fontId="5" fillId="15" borderId="6" xfId="0" applyNumberFormat="1" applyFont="1" applyFill="1" applyBorder="1" applyAlignment="1">
      <alignment horizontal="center" vertical="center" wrapText="1"/>
    </xf>
    <xf numFmtId="176" fontId="1" fillId="18" borderId="6" xfId="0" applyNumberFormat="1" applyFont="1" applyFill="1" applyBorder="1" applyAlignment="1">
      <alignment horizontal="center" vertical="center" wrapText="1"/>
    </xf>
    <xf numFmtId="176" fontId="1" fillId="16" borderId="6" xfId="0" applyNumberFormat="1" applyFont="1" applyFill="1" applyBorder="1" applyAlignment="1">
      <alignment horizontal="center" vertical="center" wrapText="1"/>
    </xf>
    <xf numFmtId="176" fontId="1" fillId="17" borderId="6" xfId="0" applyNumberFormat="1" applyFont="1" applyFill="1" applyBorder="1" applyAlignment="1">
      <alignment horizontal="center" vertical="center" wrapText="1"/>
    </xf>
    <xf numFmtId="176" fontId="1" fillId="12" borderId="6" xfId="0" applyNumberFormat="1" applyFont="1" applyFill="1" applyBorder="1" applyAlignment="1">
      <alignment vertical="center" wrapText="1"/>
    </xf>
    <xf numFmtId="178" fontId="5" fillId="12" borderId="6" xfId="0" applyNumberFormat="1" applyFont="1" applyFill="1" applyBorder="1" applyAlignment="1">
      <alignment vertical="center" wrapText="1"/>
    </xf>
    <xf numFmtId="176" fontId="5" fillId="12" borderId="6" xfId="0" applyNumberFormat="1" applyFont="1" applyFill="1" applyBorder="1" applyAlignment="1">
      <alignment vertical="center" wrapText="1"/>
    </xf>
    <xf numFmtId="176" fontId="1" fillId="19" borderId="0" xfId="0" applyNumberFormat="1" applyFont="1" applyFill="1" applyAlignment="1">
      <alignment horizontal="center" vertical="center"/>
    </xf>
    <xf numFmtId="0" fontId="5" fillId="20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176" fontId="12" fillId="0" borderId="6" xfId="0" applyNumberFormat="1" applyFont="1" applyBorder="1" applyAlignment="1">
      <alignment horizontal="center" vertical="center"/>
    </xf>
    <xf numFmtId="176" fontId="12" fillId="21" borderId="6" xfId="0" applyNumberFormat="1" applyFont="1" applyFill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12" fillId="22" borderId="6" xfId="0" applyNumberFormat="1" applyFont="1" applyFill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8" fontId="8" fillId="0" borderId="6" xfId="0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176" fontId="12" fillId="25" borderId="6" xfId="0" applyNumberFormat="1" applyFont="1" applyFill="1" applyBorder="1" applyAlignment="1">
      <alignment horizontal="center" vertical="center"/>
    </xf>
    <xf numFmtId="176" fontId="1" fillId="26" borderId="6" xfId="0" applyNumberFormat="1" applyFont="1" applyFill="1" applyBorder="1" applyAlignment="1">
      <alignment horizontal="center" vertical="center"/>
    </xf>
    <xf numFmtId="176" fontId="10" fillId="27" borderId="6" xfId="0" applyNumberFormat="1" applyFont="1" applyFill="1" applyBorder="1" applyAlignment="1">
      <alignment horizontal="center" vertical="center"/>
    </xf>
    <xf numFmtId="176" fontId="13" fillId="27" borderId="6" xfId="0" applyNumberFormat="1" applyFont="1" applyFill="1" applyBorder="1" applyAlignment="1">
      <alignment horizontal="center" vertical="center"/>
    </xf>
    <xf numFmtId="178" fontId="13" fillId="27" borderId="6" xfId="0" applyNumberFormat="1" applyFont="1" applyFill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178" fontId="13" fillId="0" borderId="6" xfId="0" applyNumberFormat="1" applyFont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5" fillId="0" borderId="6" xfId="0" applyFont="1" applyBorder="1">
      <alignment vertical="center"/>
    </xf>
    <xf numFmtId="176" fontId="5" fillId="0" borderId="6" xfId="0" applyNumberFormat="1" applyFont="1" applyBorder="1" applyAlignment="1">
      <alignment horizontal="center" vertical="center" wrapText="1"/>
    </xf>
    <xf numFmtId="176" fontId="1" fillId="12" borderId="10" xfId="0" applyNumberFormat="1" applyFont="1" applyFill="1" applyBorder="1" applyAlignment="1">
      <alignment horizontal="center" vertical="center" wrapText="1"/>
    </xf>
    <xf numFmtId="178" fontId="12" fillId="0" borderId="4" xfId="0" applyNumberFormat="1" applyFont="1" applyBorder="1">
      <alignment vertical="center"/>
    </xf>
    <xf numFmtId="178" fontId="12" fillId="0" borderId="0" xfId="0" applyNumberFormat="1" applyFo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1" fillId="30" borderId="11" xfId="0" applyFont="1" applyFill="1" applyBorder="1" applyAlignment="1">
      <alignment horizontal="center" vertical="center" wrapText="1"/>
    </xf>
    <xf numFmtId="0" fontId="1" fillId="30" borderId="13" xfId="0" applyFont="1" applyFill="1" applyBorder="1" applyAlignment="1">
      <alignment horizontal="center" vertical="center" wrapText="1"/>
    </xf>
    <xf numFmtId="0" fontId="1" fillId="30" borderId="9" xfId="0" applyFont="1" applyFill="1" applyBorder="1" applyAlignment="1">
      <alignment horizontal="center" vertical="center" wrapText="1"/>
    </xf>
    <xf numFmtId="176" fontId="14" fillId="0" borderId="1" xfId="0" applyNumberFormat="1" applyFont="1" applyBorder="1" applyAlignment="1">
      <alignment vertical="center" wrapText="1"/>
    </xf>
    <xf numFmtId="0" fontId="1" fillId="28" borderId="1" xfId="0" applyFont="1" applyFill="1" applyBorder="1" applyAlignment="1">
      <alignment horizontal="left" vertical="center" wrapText="1"/>
    </xf>
    <xf numFmtId="0" fontId="1" fillId="29" borderId="1" xfId="0" applyFont="1" applyFill="1" applyBorder="1" applyAlignment="1">
      <alignment horizontal="left" vertical="center" wrapText="1"/>
    </xf>
    <xf numFmtId="0" fontId="1" fillId="33" borderId="1" xfId="0" applyFont="1" applyFill="1" applyBorder="1" applyAlignment="1">
      <alignment horizontal="left" vertical="center" wrapText="1"/>
    </xf>
    <xf numFmtId="0" fontId="1" fillId="30" borderId="1" xfId="0" applyFont="1" applyFill="1" applyBorder="1" applyAlignment="1">
      <alignment horizontal="left" vertical="center" wrapText="1"/>
    </xf>
    <xf numFmtId="0" fontId="1" fillId="31" borderId="1" xfId="0" applyFont="1" applyFill="1" applyBorder="1" applyAlignment="1">
      <alignment horizontal="left" vertical="center" wrapText="1"/>
    </xf>
    <xf numFmtId="0" fontId="1" fillId="32" borderId="1" xfId="0" applyFont="1" applyFill="1" applyBorder="1" applyAlignment="1">
      <alignment horizontal="left" vertical="center" wrapText="1"/>
    </xf>
    <xf numFmtId="176" fontId="1" fillId="16" borderId="1" xfId="0" applyNumberFormat="1" applyFont="1" applyFill="1" applyBorder="1" applyAlignment="1">
      <alignment horizontal="center" vertical="center"/>
    </xf>
    <xf numFmtId="176" fontId="1" fillId="17" borderId="1" xfId="0" applyNumberFormat="1" applyFont="1" applyFill="1" applyBorder="1" applyAlignment="1">
      <alignment horizontal="center" vertical="center" wrapText="1"/>
    </xf>
    <xf numFmtId="176" fontId="1" fillId="18" borderId="1" xfId="0" applyNumberFormat="1" applyFont="1" applyFill="1" applyBorder="1" applyAlignment="1">
      <alignment horizontal="center" vertical="center"/>
    </xf>
    <xf numFmtId="176" fontId="1" fillId="12" borderId="1" xfId="0" applyNumberFormat="1" applyFont="1" applyFill="1" applyBorder="1" applyAlignment="1">
      <alignment vertical="center" wrapText="1"/>
    </xf>
    <xf numFmtId="178" fontId="5" fillId="34" borderId="1" xfId="0" applyNumberFormat="1" applyFont="1" applyFill="1" applyBorder="1" applyAlignment="1">
      <alignment horizontal="center" vertical="center" wrapText="1"/>
    </xf>
    <xf numFmtId="178" fontId="5" fillId="12" borderId="11" xfId="0" applyNumberFormat="1" applyFont="1" applyFill="1" applyBorder="1" applyAlignment="1">
      <alignment horizontal="center" vertical="center" wrapText="1"/>
    </xf>
    <xf numFmtId="176" fontId="5" fillId="12" borderId="1" xfId="0" applyNumberFormat="1" applyFont="1" applyFill="1" applyBorder="1" applyAlignment="1">
      <alignment horizontal="center" vertical="center" wrapText="1"/>
    </xf>
    <xf numFmtId="178" fontId="12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" fillId="30" borderId="10" xfId="0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/>
    </xf>
    <xf numFmtId="176" fontId="12" fillId="0" borderId="16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176" fontId="1" fillId="0" borderId="16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76" fontId="1" fillId="0" borderId="21" xfId="0" applyNumberFormat="1" applyFont="1" applyBorder="1" applyAlignment="1">
      <alignment horizontal="center" vertical="center" wrapText="1"/>
    </xf>
    <xf numFmtId="176" fontId="1" fillId="0" borderId="22" xfId="0" applyNumberFormat="1" applyFont="1" applyBorder="1" applyAlignment="1">
      <alignment horizontal="center" vertical="center" wrapText="1"/>
    </xf>
    <xf numFmtId="0" fontId="5" fillId="29" borderId="16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5" fillId="29" borderId="23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176" fontId="12" fillId="35" borderId="1" xfId="0" applyNumberFormat="1" applyFont="1" applyFill="1" applyBorder="1" applyAlignment="1">
      <alignment horizontal="center" vertical="center"/>
    </xf>
    <xf numFmtId="0" fontId="5" fillId="29" borderId="13" xfId="0" applyFont="1" applyFill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/>
    </xf>
    <xf numFmtId="178" fontId="16" fillId="0" borderId="1" xfId="0" applyNumberFormat="1" applyFont="1" applyBorder="1" applyAlignment="1">
      <alignment horizontal="center" vertical="center"/>
    </xf>
    <xf numFmtId="176" fontId="1" fillId="36" borderId="1" xfId="0" applyNumberFormat="1" applyFont="1" applyFill="1" applyBorder="1" applyAlignment="1">
      <alignment horizontal="center" vertical="center" wrapText="1"/>
    </xf>
    <xf numFmtId="176" fontId="1" fillId="36" borderId="0" xfId="0" applyNumberFormat="1" applyFont="1" applyFill="1" applyAlignment="1">
      <alignment horizontal="center" vertical="center" wrapText="1"/>
    </xf>
    <xf numFmtId="0" fontId="5" fillId="29" borderId="0" xfId="0" applyFont="1" applyFill="1" applyAlignment="1">
      <alignment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5" fillId="31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5" fillId="39" borderId="3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176" fontId="1" fillId="16" borderId="33" xfId="0" applyNumberFormat="1" applyFont="1" applyFill="1" applyBorder="1" applyAlignment="1">
      <alignment horizontal="center" vertical="center"/>
    </xf>
    <xf numFmtId="176" fontId="1" fillId="17" borderId="33" xfId="0" applyNumberFormat="1" applyFont="1" applyFill="1" applyBorder="1" applyAlignment="1">
      <alignment horizontal="center" vertical="center" wrapText="1"/>
    </xf>
    <xf numFmtId="176" fontId="1" fillId="18" borderId="33" xfId="0" applyNumberFormat="1" applyFont="1" applyFill="1" applyBorder="1" applyAlignment="1">
      <alignment horizontal="center" vertical="center"/>
    </xf>
    <xf numFmtId="176" fontId="1" fillId="12" borderId="33" xfId="0" applyNumberFormat="1" applyFont="1" applyFill="1" applyBorder="1" applyAlignment="1">
      <alignment vertical="center" wrapText="1"/>
    </xf>
    <xf numFmtId="0" fontId="5" fillId="30" borderId="33" xfId="0" applyFont="1" applyFill="1" applyBorder="1" applyAlignment="1">
      <alignment horizontal="center" vertical="center" wrapText="1"/>
    </xf>
    <xf numFmtId="0" fontId="5" fillId="31" borderId="33" xfId="0" applyFont="1" applyFill="1" applyBorder="1" applyAlignment="1">
      <alignment horizontal="center" vertical="center" wrapText="1"/>
    </xf>
    <xf numFmtId="0" fontId="5" fillId="29" borderId="33" xfId="0" applyFont="1" applyFill="1" applyBorder="1" applyAlignment="1">
      <alignment horizontal="center" vertical="center" wrapText="1"/>
    </xf>
    <xf numFmtId="0" fontId="5" fillId="28" borderId="33" xfId="0" applyFont="1" applyFill="1" applyBorder="1" applyAlignment="1">
      <alignment horizontal="center" vertical="center" wrapText="1"/>
    </xf>
    <xf numFmtId="0" fontId="5" fillId="37" borderId="33" xfId="0" applyFont="1" applyFill="1" applyBorder="1" applyAlignment="1">
      <alignment horizontal="center" vertical="center" wrapText="1"/>
    </xf>
    <xf numFmtId="0" fontId="5" fillId="38" borderId="33" xfId="0" applyFont="1" applyFill="1" applyBorder="1" applyAlignment="1">
      <alignment horizontal="center" vertical="center" wrapText="1"/>
    </xf>
    <xf numFmtId="176" fontId="12" fillId="0" borderId="33" xfId="0" applyNumberFormat="1" applyFont="1" applyBorder="1" applyAlignment="1">
      <alignment horizontal="center" vertical="center"/>
    </xf>
    <xf numFmtId="176" fontId="12" fillId="40" borderId="33" xfId="0" applyNumberFormat="1" applyFont="1" applyFill="1" applyBorder="1" applyAlignment="1">
      <alignment horizontal="center" vertical="center"/>
    </xf>
    <xf numFmtId="176" fontId="12" fillId="0" borderId="7" xfId="0" applyNumberFormat="1" applyFont="1" applyBorder="1">
      <alignment vertical="center"/>
    </xf>
    <xf numFmtId="176" fontId="12" fillId="0" borderId="15" xfId="0" applyNumberFormat="1" applyFont="1" applyBorder="1">
      <alignment vertical="center"/>
    </xf>
    <xf numFmtId="176" fontId="12" fillId="0" borderId="16" xfId="0" applyNumberFormat="1" applyFont="1" applyBorder="1">
      <alignment vertical="center"/>
    </xf>
    <xf numFmtId="176" fontId="1" fillId="0" borderId="33" xfId="0" applyNumberFormat="1" applyFont="1" applyBorder="1" applyAlignment="1">
      <alignment horizontal="center" vertical="center"/>
    </xf>
    <xf numFmtId="176" fontId="8" fillId="0" borderId="33" xfId="0" applyNumberFormat="1" applyFont="1" applyBorder="1" applyAlignment="1">
      <alignment horizontal="center" vertical="center"/>
    </xf>
    <xf numFmtId="176" fontId="1" fillId="0" borderId="33" xfId="0" applyNumberFormat="1" applyFont="1" applyBorder="1" applyAlignment="1">
      <alignment horizontal="center" vertical="center" wrapText="1"/>
    </xf>
    <xf numFmtId="176" fontId="1" fillId="0" borderId="33" xfId="0" applyNumberFormat="1" applyFont="1" applyBorder="1" applyAlignment="1">
      <alignment vertical="center" wrapText="1"/>
    </xf>
    <xf numFmtId="0" fontId="5" fillId="0" borderId="33" xfId="0" applyFont="1" applyBorder="1" applyAlignment="1">
      <alignment horizontal="center" vertical="center" wrapText="1"/>
    </xf>
    <xf numFmtId="176" fontId="1" fillId="36" borderId="33" xfId="0" applyNumberFormat="1" applyFont="1" applyFill="1" applyBorder="1" applyAlignment="1">
      <alignment horizontal="center" vertical="center" wrapText="1"/>
    </xf>
    <xf numFmtId="176" fontId="12" fillId="35" borderId="33" xfId="0" applyNumberFormat="1" applyFont="1" applyFill="1" applyBorder="1" applyAlignment="1">
      <alignment horizontal="center" vertical="center"/>
    </xf>
    <xf numFmtId="178" fontId="8" fillId="0" borderId="33" xfId="0" applyNumberFormat="1" applyFont="1" applyBorder="1" applyAlignment="1">
      <alignment horizontal="center" vertical="center"/>
    </xf>
    <xf numFmtId="178" fontId="8" fillId="0" borderId="7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 wrapText="1"/>
    </xf>
    <xf numFmtId="176" fontId="1" fillId="0" borderId="13" xfId="0" applyNumberFormat="1" applyFont="1" applyBorder="1" applyAlignment="1">
      <alignment horizontal="center" vertical="center" wrapText="1"/>
    </xf>
    <xf numFmtId="176" fontId="1" fillId="0" borderId="7" xfId="0" applyNumberFormat="1" applyFont="1" applyBorder="1" applyAlignment="1">
      <alignment horizontal="center" vertical="center" wrapText="1"/>
    </xf>
    <xf numFmtId="176" fontId="1" fillId="0" borderId="15" xfId="0" applyNumberFormat="1" applyFont="1" applyBorder="1" applyAlignment="1">
      <alignment horizontal="center" vertical="center" wrapText="1"/>
    </xf>
    <xf numFmtId="176" fontId="1" fillId="0" borderId="16" xfId="0" applyNumberFormat="1" applyFont="1" applyBorder="1" applyAlignment="1">
      <alignment horizontal="center" vertical="center" wrapText="1"/>
    </xf>
    <xf numFmtId="176" fontId="1" fillId="0" borderId="33" xfId="0" applyNumberFormat="1" applyFont="1" applyBorder="1" applyAlignment="1">
      <alignment horizontal="center" vertical="center"/>
    </xf>
    <xf numFmtId="0" fontId="5" fillId="37" borderId="9" xfId="0" applyFont="1" applyFill="1" applyBorder="1" applyAlignment="1">
      <alignment horizontal="center" vertical="center"/>
    </xf>
    <xf numFmtId="0" fontId="5" fillId="37" borderId="24" xfId="0" applyFont="1" applyFill="1" applyBorder="1" applyAlignment="1">
      <alignment horizontal="center" vertical="center"/>
    </xf>
    <xf numFmtId="0" fontId="5" fillId="37" borderId="21" xfId="0" applyFont="1" applyFill="1" applyBorder="1" applyAlignment="1">
      <alignment horizontal="center" vertical="center"/>
    </xf>
    <xf numFmtId="0" fontId="5" fillId="37" borderId="10" xfId="0" applyFont="1" applyFill="1" applyBorder="1" applyAlignment="1">
      <alignment horizontal="center" vertical="center"/>
    </xf>
    <xf numFmtId="0" fontId="5" fillId="37" borderId="5" xfId="0" applyFont="1" applyFill="1" applyBorder="1" applyAlignment="1">
      <alignment horizontal="center" vertical="center"/>
    </xf>
    <xf numFmtId="0" fontId="5" fillId="37" borderId="23" xfId="0" applyFont="1" applyFill="1" applyBorder="1" applyAlignment="1">
      <alignment horizontal="center" vertical="center"/>
    </xf>
    <xf numFmtId="0" fontId="5" fillId="38" borderId="9" xfId="0" applyFont="1" applyFill="1" applyBorder="1" applyAlignment="1">
      <alignment horizontal="center" vertical="center"/>
    </xf>
    <xf numFmtId="0" fontId="5" fillId="38" borderId="24" xfId="0" applyFont="1" applyFill="1" applyBorder="1" applyAlignment="1">
      <alignment horizontal="center" vertical="center"/>
    </xf>
    <xf numFmtId="0" fontId="5" fillId="38" borderId="21" xfId="0" applyFont="1" applyFill="1" applyBorder="1" applyAlignment="1">
      <alignment horizontal="center" vertical="center"/>
    </xf>
    <xf numFmtId="0" fontId="5" fillId="38" borderId="10" xfId="0" applyFont="1" applyFill="1" applyBorder="1" applyAlignment="1">
      <alignment horizontal="center" vertical="center"/>
    </xf>
    <xf numFmtId="0" fontId="5" fillId="38" borderId="5" xfId="0" applyFont="1" applyFill="1" applyBorder="1" applyAlignment="1">
      <alignment horizontal="center" vertical="center"/>
    </xf>
    <xf numFmtId="0" fontId="5" fillId="38" borderId="23" xfId="0" applyFont="1" applyFill="1" applyBorder="1" applyAlignment="1">
      <alignment horizontal="center" vertical="center"/>
    </xf>
    <xf numFmtId="0" fontId="5" fillId="39" borderId="25" xfId="0" applyFont="1" applyFill="1" applyBorder="1" applyAlignment="1">
      <alignment horizontal="center" vertical="center" wrapText="1"/>
    </xf>
    <xf numFmtId="0" fontId="5" fillId="39" borderId="28" xfId="0" applyFont="1" applyFill="1" applyBorder="1" applyAlignment="1">
      <alignment horizontal="center" vertical="center" wrapText="1"/>
    </xf>
    <xf numFmtId="0" fontId="1" fillId="30" borderId="27" xfId="0" applyFont="1" applyFill="1" applyBorder="1" applyAlignment="1">
      <alignment horizontal="center" vertical="center" wrapText="1"/>
    </xf>
    <xf numFmtId="0" fontId="1" fillId="30" borderId="30" xfId="0" applyFont="1" applyFill="1" applyBorder="1" applyAlignment="1">
      <alignment horizontal="center" vertical="center" wrapText="1"/>
    </xf>
    <xf numFmtId="0" fontId="1" fillId="30" borderId="34" xfId="0" applyFont="1" applyFill="1" applyBorder="1" applyAlignment="1">
      <alignment horizontal="center" vertical="center" wrapText="1"/>
    </xf>
    <xf numFmtId="0" fontId="5" fillId="29" borderId="14" xfId="0" applyFont="1" applyFill="1" applyBorder="1" applyAlignment="1">
      <alignment horizontal="center" vertical="center"/>
    </xf>
    <xf numFmtId="0" fontId="5" fillId="29" borderId="15" xfId="0" applyFont="1" applyFill="1" applyBorder="1" applyAlignment="1">
      <alignment horizontal="center" vertical="center"/>
    </xf>
    <xf numFmtId="0" fontId="5" fillId="29" borderId="16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176" fontId="1" fillId="12" borderId="10" xfId="0" applyNumberFormat="1" applyFont="1" applyFill="1" applyBorder="1" applyAlignment="1">
      <alignment horizontal="center" vertical="center" wrapText="1"/>
    </xf>
    <xf numFmtId="176" fontId="1" fillId="12" borderId="5" xfId="0" applyNumberFormat="1" applyFont="1" applyFill="1" applyBorder="1" applyAlignment="1">
      <alignment horizontal="center" vertical="center" wrapText="1"/>
    </xf>
    <xf numFmtId="0" fontId="5" fillId="30" borderId="9" xfId="0" applyFont="1" applyFill="1" applyBorder="1" applyAlignment="1">
      <alignment horizontal="center" vertical="center"/>
    </xf>
    <xf numFmtId="0" fontId="5" fillId="30" borderId="24" xfId="0" applyFont="1" applyFill="1" applyBorder="1" applyAlignment="1">
      <alignment horizontal="center" vertical="center"/>
    </xf>
    <xf numFmtId="0" fontId="5" fillId="30" borderId="21" xfId="0" applyFont="1" applyFill="1" applyBorder="1" applyAlignment="1">
      <alignment horizontal="center" vertical="center"/>
    </xf>
    <xf numFmtId="0" fontId="5" fillId="30" borderId="10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horizontal="center" vertical="center"/>
    </xf>
    <xf numFmtId="0" fontId="5" fillId="30" borderId="23" xfId="0" applyFont="1" applyFill="1" applyBorder="1" applyAlignment="1">
      <alignment horizontal="center" vertical="center"/>
    </xf>
    <xf numFmtId="0" fontId="5" fillId="31" borderId="14" xfId="0" applyFont="1" applyFill="1" applyBorder="1" applyAlignment="1">
      <alignment horizontal="center" vertical="center"/>
    </xf>
    <xf numFmtId="0" fontId="5" fillId="31" borderId="16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176" fontId="1" fillId="0" borderId="14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4" fillId="29" borderId="1" xfId="0" applyFont="1" applyFill="1" applyBorder="1" applyAlignment="1">
      <alignment horizontal="center" vertical="center" wrapText="1"/>
    </xf>
    <xf numFmtId="0" fontId="1" fillId="30" borderId="11" xfId="0" applyFont="1" applyFill="1" applyBorder="1" applyAlignment="1">
      <alignment horizontal="center" vertical="center" wrapText="1"/>
    </xf>
    <xf numFmtId="0" fontId="1" fillId="30" borderId="12" xfId="0" applyFont="1" applyFill="1" applyBorder="1" applyAlignment="1">
      <alignment horizontal="center" vertical="center" wrapText="1"/>
    </xf>
    <xf numFmtId="0" fontId="1" fillId="30" borderId="13" xfId="0" applyFont="1" applyFill="1" applyBorder="1" applyAlignment="1">
      <alignment horizontal="center" vertical="center" wrapText="1"/>
    </xf>
    <xf numFmtId="0" fontId="1" fillId="31" borderId="14" xfId="0" applyFont="1" applyFill="1" applyBorder="1" applyAlignment="1">
      <alignment horizontal="center" vertical="center" wrapText="1"/>
    </xf>
    <xf numFmtId="0" fontId="1" fillId="31" borderId="15" xfId="0" applyFont="1" applyFill="1" applyBorder="1" applyAlignment="1">
      <alignment horizontal="center" vertical="center" wrapText="1"/>
    </xf>
    <xf numFmtId="0" fontId="1" fillId="31" borderId="16" xfId="0" applyFont="1" applyFill="1" applyBorder="1" applyAlignment="1">
      <alignment horizontal="center" vertical="center" wrapText="1"/>
    </xf>
    <xf numFmtId="0" fontId="1" fillId="29" borderId="14" xfId="0" applyFont="1" applyFill="1" applyBorder="1" applyAlignment="1">
      <alignment horizontal="center" vertical="center" wrapText="1"/>
    </xf>
    <xf numFmtId="0" fontId="1" fillId="29" borderId="16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  <xf numFmtId="0" fontId="1" fillId="32" borderId="6" xfId="0" applyFont="1" applyFill="1" applyBorder="1" applyAlignment="1">
      <alignment horizontal="center" vertical="center" wrapText="1"/>
    </xf>
    <xf numFmtId="0" fontId="1" fillId="30" borderId="6" xfId="0" applyFont="1" applyFill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8" borderId="11" xfId="0" applyFont="1" applyFill="1" applyBorder="1" applyAlignment="1">
      <alignment horizontal="center" vertical="center" wrapText="1"/>
    </xf>
    <xf numFmtId="0" fontId="1" fillId="28" borderId="12" xfId="0" applyFont="1" applyFill="1" applyBorder="1" applyAlignment="1">
      <alignment horizontal="center" vertical="center" wrapText="1"/>
    </xf>
    <xf numFmtId="0" fontId="1" fillId="28" borderId="6" xfId="0" applyFont="1" applyFill="1" applyBorder="1" applyAlignment="1">
      <alignment horizontal="center" vertical="center" wrapText="1"/>
    </xf>
    <xf numFmtId="0" fontId="14" fillId="29" borderId="6" xfId="0" applyFont="1" applyFill="1" applyBorder="1" applyAlignment="1">
      <alignment horizontal="center" vertical="center" wrapText="1"/>
    </xf>
    <xf numFmtId="0" fontId="1" fillId="31" borderId="6" xfId="0" applyFont="1" applyFill="1" applyBorder="1" applyAlignment="1">
      <alignment horizontal="center" vertical="center" wrapText="1"/>
    </xf>
    <xf numFmtId="0" fontId="1" fillId="29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176" fontId="1" fillId="26" borderId="7" xfId="0" applyNumberFormat="1" applyFont="1" applyFill="1" applyBorder="1" applyAlignment="1">
      <alignment horizontal="center" vertical="center"/>
    </xf>
    <xf numFmtId="176" fontId="1" fillId="26" borderId="8" xfId="0" applyNumberFormat="1" applyFont="1" applyFill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2" fillId="0" borderId="7" xfId="0" applyNumberFormat="1" applyFont="1" applyBorder="1" applyAlignment="1">
      <alignment horizontal="center" vertical="center"/>
    </xf>
    <xf numFmtId="176" fontId="12" fillId="0" borderId="8" xfId="0" applyNumberFormat="1" applyFont="1" applyBorder="1" applyAlignment="1">
      <alignment horizontal="center" vertical="center"/>
    </xf>
    <xf numFmtId="176" fontId="1" fillId="24" borderId="7" xfId="0" applyNumberFormat="1" applyFont="1" applyFill="1" applyBorder="1" applyAlignment="1">
      <alignment horizontal="center" vertical="center"/>
    </xf>
    <xf numFmtId="176" fontId="1" fillId="24" borderId="8" xfId="0" applyNumberFormat="1" applyFont="1" applyFill="1" applyBorder="1" applyAlignment="1">
      <alignment horizontal="center" vertical="center"/>
    </xf>
    <xf numFmtId="176" fontId="1" fillId="16" borderId="7" xfId="0" applyNumberFormat="1" applyFont="1" applyFill="1" applyBorder="1" applyAlignment="1">
      <alignment horizontal="center" vertical="center" wrapText="1"/>
    </xf>
    <xf numFmtId="176" fontId="1" fillId="16" borderId="8" xfId="0" applyNumberFormat="1" applyFont="1" applyFill="1" applyBorder="1" applyAlignment="1">
      <alignment horizontal="center" vertical="center" wrapText="1"/>
    </xf>
    <xf numFmtId="176" fontId="1" fillId="17" borderId="7" xfId="0" applyNumberFormat="1" applyFont="1" applyFill="1" applyBorder="1" applyAlignment="1">
      <alignment horizontal="center" vertical="center" wrapText="1"/>
    </xf>
    <xf numFmtId="176" fontId="1" fillId="17" borderId="8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5" fillId="20" borderId="6" xfId="0" applyFont="1" applyFill="1" applyBorder="1" applyAlignment="1">
      <alignment horizontal="center" vertical="center" wrapText="1"/>
    </xf>
    <xf numFmtId="176" fontId="1" fillId="23" borderId="7" xfId="0" applyNumberFormat="1" applyFont="1" applyFill="1" applyBorder="1" applyAlignment="1">
      <alignment horizontal="center" vertical="center"/>
    </xf>
    <xf numFmtId="176" fontId="1" fillId="23" borderId="8" xfId="0" applyNumberFormat="1" applyFont="1" applyFill="1" applyBorder="1" applyAlignment="1">
      <alignment horizontal="center" vertical="center"/>
    </xf>
    <xf numFmtId="176" fontId="5" fillId="1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7" fontId="7" fillId="6" borderId="0" xfId="0" applyNumberFormat="1" applyFont="1" applyFill="1" applyAlignment="1">
      <alignment horizontal="center" vertical="center"/>
    </xf>
    <xf numFmtId="10" fontId="9" fillId="9" borderId="0" xfId="0" applyNumberFormat="1" applyFont="1" applyFill="1" applyAlignment="1">
      <alignment horizontal="center" vertical="center"/>
    </xf>
    <xf numFmtId="176" fontId="5" fillId="12" borderId="5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j/Library/Containers/com.tencent.WeWorkMac/Data/WeDrive/&#26497;&#36895;&#21360;/&#20154;&#20107;&#32489;&#25928;&#36164;&#26009;/0-&#24037;&#36164;&#30456;&#20851;&#36164;&#26009;/0-2025&#24180;&#24037;&#36164;&#34920;/&#36134;&#25143;&#26126;&#32454;&#26368;&#32456;&#34920;/2025&#24180;11&#26376;&#24037;&#36164;&#34920;1213&#8212;&#21608;+&#36134;&#25143;&#26126;&#32454;.xlsx" TargetMode="External"/><Relationship Id="rId1" Type="http://schemas.openxmlformats.org/officeDocument/2006/relationships/externalLinkPath" Target="/Users/tfj/Library/Containers/com.tencent.WeWorkMac/Data/WeDrive/&#26497;&#36895;&#21360;/&#20154;&#20107;&#32489;&#25928;&#36164;&#26009;/0-&#24037;&#36164;&#30456;&#20851;&#36164;&#26009;/0-2025&#24180;&#24037;&#36164;&#34920;/&#36134;&#25143;&#26126;&#32454;&#26368;&#32456;&#34920;/2025&#24180;11&#26376;&#24037;&#36164;&#34920;1213&#8212;&#21608;+&#36134;&#25143;&#26126;&#324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核算步骤"/>
      <sheetName val="各店业绩"/>
      <sheetName val="管理绩效"/>
      <sheetName val="财务回款数据"/>
      <sheetName val="各店人员分配表"/>
      <sheetName val="人员变动"/>
      <sheetName val="给微店送货费"/>
      <sheetName val="中央+喷印工厂绩效计算表- 新"/>
      <sheetName val="财务发明细"/>
      <sheetName val="账户明细表"/>
      <sheetName val="微信发"/>
      <sheetName val="工资表-新"/>
      <sheetName val="Sheet1"/>
      <sheetName val="Sheet2"/>
      <sheetName val="Sheet3"/>
      <sheetName val="Sheet4"/>
    </sheetNames>
    <sheetDataSet>
      <sheetData sheetId="0" refreshError="1"/>
      <sheetData sheetId="1">
        <row r="4">
          <cell r="S4">
            <v>55850.6</v>
          </cell>
        </row>
        <row r="6">
          <cell r="S6">
            <v>374278.36</v>
          </cell>
        </row>
        <row r="14">
          <cell r="S14">
            <v>147883.07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6">
          <cell r="AM36">
            <v>372.04350699999998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0A58-826C-514A-9609-36A50EE5267A}">
  <dimension ref="A1:CK77"/>
  <sheetViews>
    <sheetView tabSelected="1" topLeftCell="A32" zoomScale="50" workbookViewId="0">
      <selection activeCell="A40" sqref="A40"/>
    </sheetView>
  </sheetViews>
  <sheetFormatPr baseColWidth="10" defaultColWidth="9" defaultRowHeight="19"/>
  <cols>
    <col min="1" max="1" width="16.83203125" style="3" customWidth="1"/>
    <col min="2" max="9" width="8.83203125" style="3" customWidth="1"/>
    <col min="10" max="10" width="12.5" style="3" customWidth="1"/>
    <col min="11" max="28" width="8.83203125" style="3" customWidth="1"/>
    <col min="29" max="29" width="18.6640625" style="3" bestFit="1" customWidth="1"/>
    <col min="30" max="30" width="18.5" style="3" bestFit="1" customWidth="1"/>
    <col min="31" max="33" width="16.1640625" style="3" bestFit="1" customWidth="1"/>
    <col min="34" max="34" width="11.5" style="3" bestFit="1" customWidth="1"/>
    <col min="35" max="35" width="18.6640625" style="3" bestFit="1" customWidth="1"/>
    <col min="36" max="36" width="18.5" style="3" bestFit="1" customWidth="1"/>
    <col min="37" max="38" width="11.5" style="3" bestFit="1" customWidth="1"/>
    <col min="39" max="39" width="14" style="28" customWidth="1"/>
    <col min="40" max="40" width="11.5" style="28" bestFit="1" customWidth="1"/>
    <col min="41" max="41" width="12.1640625" style="3" customWidth="1"/>
    <col min="42" max="49" width="14.6640625" style="3" customWidth="1"/>
    <col min="50" max="50" width="26.83203125" style="22" customWidth="1"/>
    <col min="51" max="75" width="12" style="22" customWidth="1"/>
    <col min="76" max="76" width="12.1640625" style="3" customWidth="1"/>
    <col min="77" max="80" width="9" style="3"/>
    <col min="81" max="81" width="14.33203125" style="3" bestFit="1" customWidth="1"/>
    <col min="82" max="82" width="9.1640625" style="3" bestFit="1" customWidth="1"/>
    <col min="83" max="94" width="18.33203125" style="3" customWidth="1"/>
    <col min="95" max="16384" width="9" style="3"/>
  </cols>
  <sheetData>
    <row r="1" spans="1:76" ht="55" customHeight="1">
      <c r="A1" s="1"/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AJ1" s="4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5" t="s">
        <v>1</v>
      </c>
      <c r="AY1" s="5" t="s">
        <v>2</v>
      </c>
      <c r="AZ1" s="5" t="s">
        <v>3</v>
      </c>
      <c r="BA1" s="5" t="s">
        <v>4</v>
      </c>
      <c r="BB1" s="5" t="s">
        <v>5</v>
      </c>
      <c r="BC1" s="5"/>
      <c r="BD1" s="5" t="s">
        <v>6</v>
      </c>
      <c r="BE1" s="5" t="s">
        <v>7</v>
      </c>
      <c r="BF1" s="6" t="s">
        <v>8</v>
      </c>
      <c r="BG1" s="6" t="s">
        <v>9</v>
      </c>
      <c r="BH1" s="6" t="s">
        <v>10</v>
      </c>
      <c r="BI1" s="6" t="s">
        <v>11</v>
      </c>
      <c r="BJ1" s="6" t="s">
        <v>12</v>
      </c>
      <c r="BK1" s="6" t="s">
        <v>13</v>
      </c>
      <c r="BL1" s="6" t="s">
        <v>14</v>
      </c>
      <c r="BM1" s="7"/>
      <c r="BN1" s="3"/>
      <c r="BO1" s="8" t="s">
        <v>15</v>
      </c>
      <c r="BP1" s="9">
        <v>300</v>
      </c>
      <c r="BQ1" s="10" t="s">
        <v>16</v>
      </c>
      <c r="BR1" s="9">
        <v>500</v>
      </c>
      <c r="BS1" s="3"/>
      <c r="BT1" s="3"/>
      <c r="BU1" s="3"/>
      <c r="BV1" s="3"/>
      <c r="BW1" s="3"/>
    </row>
    <row r="2" spans="1:76" ht="55" customHeight="1">
      <c r="A2" s="1"/>
      <c r="B2" s="256" t="s">
        <v>17</v>
      </c>
      <c r="C2" s="256"/>
      <c r="D2" s="256"/>
      <c r="E2" s="261">
        <f>[1]各店业绩!S4+[1]各店业绩!S6</f>
        <v>430128.95999999996</v>
      </c>
      <c r="F2" s="261"/>
      <c r="G2" s="261"/>
      <c r="H2" s="2"/>
      <c r="I2" s="258" t="s">
        <v>18</v>
      </c>
      <c r="J2" s="258"/>
      <c r="K2" s="258"/>
      <c r="L2" s="258"/>
      <c r="M2" s="257">
        <f>E4*0.5/R2</f>
        <v>752.7256799999999</v>
      </c>
      <c r="N2" s="257"/>
      <c r="O2" s="257"/>
      <c r="P2" s="12" t="s">
        <v>19</v>
      </c>
      <c r="Q2" s="12"/>
      <c r="R2" s="11">
        <v>2</v>
      </c>
      <c r="AG2" s="13" t="s">
        <v>20</v>
      </c>
      <c r="AH2" s="14">
        <f>M4</f>
        <v>903.27081599999985</v>
      </c>
      <c r="AJ2" s="4"/>
      <c r="AK2" s="1"/>
      <c r="AL2" s="1"/>
      <c r="AM2" s="1"/>
      <c r="AN2" s="15"/>
      <c r="AO2" s="16"/>
      <c r="AP2" s="17"/>
      <c r="AQ2" s="7"/>
      <c r="AR2" s="7"/>
      <c r="AS2" s="7"/>
      <c r="AT2" s="7"/>
      <c r="AU2" s="7"/>
      <c r="AV2" s="7"/>
      <c r="AW2" s="7"/>
      <c r="AX2" s="18" t="s">
        <v>21</v>
      </c>
      <c r="AY2" s="18"/>
      <c r="AZ2" s="18"/>
      <c r="BA2" s="18"/>
      <c r="BB2" s="18"/>
      <c r="BC2" s="18"/>
      <c r="BD2" s="18"/>
      <c r="BE2" s="18"/>
      <c r="BF2" s="6">
        <v>100000</v>
      </c>
      <c r="BG2" s="19">
        <v>80000</v>
      </c>
      <c r="BH2" s="20">
        <f>BG2+50000</f>
        <v>130000</v>
      </c>
      <c r="BI2" s="6"/>
      <c r="BJ2" s="6"/>
      <c r="BK2" s="6"/>
      <c r="BL2" s="6"/>
      <c r="BM2" s="7"/>
      <c r="BN2" s="3"/>
      <c r="BO2" s="8" t="s">
        <v>22</v>
      </c>
      <c r="BP2" s="9">
        <v>600</v>
      </c>
      <c r="BQ2" s="10" t="s">
        <v>23</v>
      </c>
      <c r="BR2" s="9">
        <v>700</v>
      </c>
      <c r="BS2" s="3"/>
      <c r="BT2" s="3"/>
      <c r="BU2" s="3"/>
      <c r="BV2" s="3"/>
      <c r="BW2" s="3"/>
    </row>
    <row r="3" spans="1:76" ht="55" customHeight="1">
      <c r="A3" s="1"/>
      <c r="B3" s="256" t="s">
        <v>24</v>
      </c>
      <c r="C3" s="256"/>
      <c r="D3" s="256"/>
      <c r="E3" s="262">
        <v>7.0000000000000001E-3</v>
      </c>
      <c r="F3" s="262"/>
      <c r="G3" s="262"/>
      <c r="H3" s="2"/>
      <c r="I3" s="258" t="s">
        <v>25</v>
      </c>
      <c r="J3" s="258"/>
      <c r="K3" s="258"/>
      <c r="L3" s="258"/>
      <c r="M3" s="257">
        <f>E4*0.2/R3</f>
        <v>301.09027199999997</v>
      </c>
      <c r="N3" s="257"/>
      <c r="O3" s="257"/>
      <c r="P3" s="12" t="s">
        <v>26</v>
      </c>
      <c r="Q3" s="12"/>
      <c r="R3" s="11">
        <v>2</v>
      </c>
      <c r="AG3" s="13"/>
      <c r="AH3" s="21">
        <f>SUM(AH1:AH2)</f>
        <v>903.27081599999985</v>
      </c>
      <c r="AI3" s="22"/>
      <c r="AJ3" s="4"/>
      <c r="AK3" s="1"/>
      <c r="AL3" s="1"/>
      <c r="AM3" s="1"/>
      <c r="AN3" s="23"/>
      <c r="AO3" s="24"/>
      <c r="AP3" s="17"/>
      <c r="AQ3" s="24"/>
      <c r="AR3" s="24"/>
      <c r="AS3" s="24"/>
      <c r="AT3" s="24"/>
      <c r="AU3" s="24"/>
      <c r="AV3" s="24"/>
      <c r="AW3" s="24"/>
      <c r="AX3" s="18" t="s">
        <v>27</v>
      </c>
      <c r="AY3" s="18"/>
      <c r="AZ3" s="18"/>
      <c r="BA3" s="18"/>
      <c r="BB3" s="18"/>
      <c r="BC3" s="18"/>
      <c r="BD3" s="18"/>
      <c r="BE3" s="18"/>
      <c r="BF3" s="6">
        <v>100000</v>
      </c>
      <c r="BG3" s="19">
        <v>120000</v>
      </c>
      <c r="BH3" s="20">
        <f>BG3+50000</f>
        <v>170000</v>
      </c>
      <c r="BI3" s="6"/>
      <c r="BJ3" s="6"/>
      <c r="BK3" s="6"/>
      <c r="BL3" s="6"/>
      <c r="BM3" s="25">
        <v>2</v>
      </c>
      <c r="BN3" s="3"/>
      <c r="BO3" s="8" t="s">
        <v>28</v>
      </c>
      <c r="BP3" s="9">
        <v>900</v>
      </c>
      <c r="BQ3" s="10" t="s">
        <v>29</v>
      </c>
      <c r="BR3" s="9">
        <v>900</v>
      </c>
      <c r="BS3" s="3"/>
      <c r="BT3" s="3"/>
      <c r="BU3" s="3"/>
      <c r="BV3" s="3"/>
      <c r="BW3" s="3"/>
    </row>
    <row r="4" spans="1:76" ht="55" customHeight="1">
      <c r="A4" s="1"/>
      <c r="B4" s="256" t="s">
        <v>30</v>
      </c>
      <c r="C4" s="256"/>
      <c r="D4" s="256"/>
      <c r="E4" s="257">
        <f>E2*E3</f>
        <v>3010.9027199999996</v>
      </c>
      <c r="F4" s="257"/>
      <c r="G4" s="257"/>
      <c r="H4" s="2"/>
      <c r="I4" s="258" t="s">
        <v>31</v>
      </c>
      <c r="J4" s="258"/>
      <c r="K4" s="258"/>
      <c r="L4" s="258"/>
      <c r="M4" s="257">
        <f>E4*0.3</f>
        <v>903.27081599999985</v>
      </c>
      <c r="N4" s="257"/>
      <c r="O4" s="257"/>
      <c r="P4" s="26"/>
      <c r="Q4" s="26"/>
      <c r="R4" s="2"/>
      <c r="AG4" s="27" t="s">
        <v>32</v>
      </c>
      <c r="AH4" s="28">
        <f>IF((AH3-AH9)&lt;0,0,AH3-AH9)</f>
        <v>31.227308999999877</v>
      </c>
      <c r="AI4" s="28">
        <f>AH4</f>
        <v>31.227308999999877</v>
      </c>
      <c r="AM4" s="3"/>
      <c r="AN4" s="17"/>
      <c r="AO4" s="24"/>
      <c r="AP4" s="24"/>
      <c r="AQ4" s="24"/>
      <c r="AR4" s="24"/>
      <c r="AS4" s="24"/>
      <c r="AT4" s="24"/>
      <c r="AU4" s="24"/>
      <c r="AV4" s="24"/>
      <c r="AW4" s="24"/>
      <c r="AX4" s="18" t="s">
        <v>33</v>
      </c>
      <c r="AY4" s="18"/>
      <c r="AZ4" s="18"/>
      <c r="BA4" s="18"/>
      <c r="BB4" s="18"/>
      <c r="BC4" s="18"/>
      <c r="BD4" s="18"/>
      <c r="BE4" s="18"/>
      <c r="BF4" s="6">
        <v>100000</v>
      </c>
      <c r="BG4" s="6">
        <v>150000</v>
      </c>
      <c r="BH4" s="19">
        <v>150000</v>
      </c>
      <c r="BI4" s="6">
        <v>250000</v>
      </c>
      <c r="BJ4" s="6"/>
      <c r="BK4" s="6"/>
      <c r="BL4" s="6"/>
      <c r="BM4" s="25"/>
      <c r="BN4" s="3"/>
      <c r="BO4" s="8" t="s">
        <v>34</v>
      </c>
      <c r="BP4" s="9">
        <v>1200</v>
      </c>
      <c r="BQ4" s="29"/>
      <c r="BR4" s="30"/>
      <c r="BS4" s="3"/>
      <c r="BT4" s="3"/>
      <c r="BU4" s="3"/>
      <c r="BV4" s="3"/>
      <c r="BW4" s="3"/>
    </row>
    <row r="5" spans="1:76" ht="88" customHeight="1">
      <c r="A5" s="1"/>
      <c r="B5" s="259" t="s">
        <v>35</v>
      </c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AG5" s="27" t="s">
        <v>36</v>
      </c>
      <c r="AH5" s="3">
        <f>'[1]中央+喷印工厂绩效计算表- 新'!AM36</f>
        <v>372.04350699999998</v>
      </c>
      <c r="AJ5" s="31"/>
      <c r="AK5" s="32"/>
      <c r="AL5" s="32"/>
      <c r="AM5" s="1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4" t="s">
        <v>37</v>
      </c>
      <c r="AY5" s="34"/>
      <c r="AZ5" s="34"/>
      <c r="BA5" s="34"/>
      <c r="BB5" s="34"/>
      <c r="BC5" s="34"/>
      <c r="BD5" s="19"/>
      <c r="BE5" s="19"/>
      <c r="BF5" s="19">
        <v>100000</v>
      </c>
      <c r="BG5" s="19">
        <v>200000</v>
      </c>
      <c r="BH5" s="19">
        <v>300000</v>
      </c>
      <c r="BI5" s="19">
        <v>400000</v>
      </c>
      <c r="BJ5" s="19">
        <v>500000</v>
      </c>
      <c r="BK5" s="19">
        <v>600000</v>
      </c>
      <c r="BL5" s="19">
        <v>700000</v>
      </c>
      <c r="BM5" s="25"/>
      <c r="BN5" s="3"/>
      <c r="BO5" s="35" t="s">
        <v>38</v>
      </c>
      <c r="BP5" s="9">
        <v>600</v>
      </c>
      <c r="BQ5" s="29"/>
      <c r="BR5" s="30"/>
      <c r="BS5" s="3"/>
      <c r="BT5" s="3"/>
      <c r="BU5" s="3"/>
      <c r="BV5" s="3"/>
      <c r="BW5" s="3"/>
    </row>
    <row r="6" spans="1:76" ht="88" customHeight="1">
      <c r="A6" s="1"/>
      <c r="B6" s="259" t="s">
        <v>39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W6" s="36"/>
      <c r="AG6" s="27" t="s">
        <v>40</v>
      </c>
      <c r="AH6" s="3">
        <v>300</v>
      </c>
      <c r="AJ6" s="251"/>
      <c r="AK6" s="251"/>
      <c r="AL6" s="32"/>
      <c r="AM6" s="1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18" t="s">
        <v>41</v>
      </c>
      <c r="AY6" s="18" t="s">
        <v>42</v>
      </c>
      <c r="AZ6" s="18" t="s">
        <v>43</v>
      </c>
      <c r="BA6" s="18">
        <v>100</v>
      </c>
      <c r="BB6" s="18">
        <v>200</v>
      </c>
      <c r="BC6" s="18" t="s">
        <v>44</v>
      </c>
      <c r="BD6" s="18">
        <v>30000</v>
      </c>
      <c r="BE6" s="6"/>
      <c r="BF6" s="6">
        <v>50</v>
      </c>
      <c r="BG6" s="6">
        <v>300</v>
      </c>
      <c r="BH6" s="18">
        <v>500</v>
      </c>
      <c r="BI6" s="18">
        <v>600</v>
      </c>
      <c r="BJ6" s="37">
        <v>400</v>
      </c>
      <c r="BK6" s="6"/>
      <c r="BL6" s="6"/>
      <c r="BM6" s="25"/>
      <c r="BN6" s="3"/>
      <c r="BO6" s="35" t="s">
        <v>45</v>
      </c>
      <c r="BP6" s="9">
        <v>900</v>
      </c>
      <c r="BQ6" s="29"/>
      <c r="BR6" s="30"/>
      <c r="BS6" s="3"/>
      <c r="BT6" s="3"/>
      <c r="BU6" s="3"/>
      <c r="BV6" s="3"/>
      <c r="BW6" s="3"/>
    </row>
    <row r="7" spans="1:76" ht="5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W7" s="36"/>
      <c r="AB7" s="28"/>
      <c r="AC7" s="28"/>
      <c r="AD7" s="28"/>
      <c r="AE7" s="28"/>
      <c r="AG7" s="3" t="s">
        <v>46</v>
      </c>
      <c r="AH7" s="3">
        <v>200</v>
      </c>
      <c r="AL7" s="32"/>
      <c r="AM7" s="1"/>
      <c r="AN7" s="3"/>
      <c r="AX7" s="18"/>
      <c r="AY7" s="18" t="s">
        <v>47</v>
      </c>
      <c r="AZ7" s="18" t="s">
        <v>43</v>
      </c>
      <c r="BA7" s="18">
        <v>100</v>
      </c>
      <c r="BB7" s="18">
        <v>200</v>
      </c>
      <c r="BC7" s="18" t="s">
        <v>48</v>
      </c>
      <c r="BD7" s="6"/>
      <c r="BE7" s="6"/>
      <c r="BF7" s="6"/>
      <c r="BG7" s="6"/>
      <c r="BH7" s="6"/>
      <c r="BI7" s="6"/>
      <c r="BJ7" s="37"/>
      <c r="BK7" s="6"/>
      <c r="BL7" s="6"/>
      <c r="BM7" s="25">
        <v>2</v>
      </c>
      <c r="BN7" s="3"/>
      <c r="BO7" s="35" t="s">
        <v>49</v>
      </c>
      <c r="BP7" s="9">
        <v>1260</v>
      </c>
      <c r="BQ7" s="38" t="s">
        <v>50</v>
      </c>
      <c r="BR7" s="30">
        <v>200</v>
      </c>
      <c r="BS7" s="3"/>
      <c r="BT7" s="3"/>
      <c r="BU7" s="3"/>
      <c r="BV7" s="3"/>
      <c r="BW7" s="3"/>
    </row>
    <row r="8" spans="1:76" ht="5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AI8" s="3" t="s">
        <v>51</v>
      </c>
      <c r="AM8" s="1"/>
      <c r="AN8" s="3"/>
      <c r="AX8" s="18"/>
      <c r="AY8" s="5" t="s">
        <v>52</v>
      </c>
      <c r="AZ8" s="5" t="s">
        <v>53</v>
      </c>
      <c r="BA8" s="5">
        <v>100</v>
      </c>
      <c r="BB8" s="5">
        <v>200</v>
      </c>
      <c r="BC8" s="5" t="s">
        <v>54</v>
      </c>
      <c r="BD8" s="6"/>
      <c r="BE8" s="6"/>
      <c r="BF8" s="6"/>
      <c r="BG8" s="6"/>
      <c r="BH8" s="6"/>
      <c r="BI8" s="6"/>
      <c r="BJ8" s="37"/>
      <c r="BK8" s="6"/>
      <c r="BL8" s="6"/>
      <c r="BM8" s="25"/>
      <c r="BN8" s="3"/>
      <c r="BO8" s="35" t="s">
        <v>55</v>
      </c>
      <c r="BP8" s="9">
        <v>1600</v>
      </c>
      <c r="BQ8" s="38" t="s">
        <v>56</v>
      </c>
      <c r="BR8" s="30">
        <v>250</v>
      </c>
      <c r="BS8" s="3"/>
      <c r="BT8" s="3"/>
      <c r="BU8" s="3"/>
      <c r="BV8" s="3"/>
      <c r="BW8" s="3"/>
    </row>
    <row r="9" spans="1:76" s="22" customFormat="1" ht="55" customHeight="1">
      <c r="A9" s="39"/>
      <c r="B9" s="255" t="s">
        <v>57</v>
      </c>
      <c r="C9" s="255"/>
      <c r="D9" s="255"/>
      <c r="E9" s="255"/>
      <c r="F9" s="255" t="s">
        <v>58</v>
      </c>
      <c r="G9" s="255"/>
      <c r="H9" s="255" t="s">
        <v>59</v>
      </c>
      <c r="I9" s="255"/>
      <c r="J9" s="255"/>
      <c r="K9" s="263" t="s">
        <v>60</v>
      </c>
      <c r="L9" s="263"/>
      <c r="M9" s="263"/>
      <c r="N9" s="263"/>
      <c r="O9" s="263"/>
      <c r="P9" s="263"/>
      <c r="Q9" s="263"/>
      <c r="R9" s="200" t="s">
        <v>61</v>
      </c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H9" s="22">
        <f>SUM(AH5:AH8)</f>
        <v>872.04350699999998</v>
      </c>
      <c r="AX9" s="18"/>
      <c r="AY9" s="41" t="s">
        <v>62</v>
      </c>
      <c r="AZ9" s="41" t="s">
        <v>53</v>
      </c>
      <c r="BA9" s="41">
        <v>100</v>
      </c>
      <c r="BB9" s="41" t="s">
        <v>63</v>
      </c>
      <c r="BC9" s="41" t="s">
        <v>64</v>
      </c>
      <c r="BD9" s="6"/>
      <c r="BE9" s="6"/>
      <c r="BF9" s="6"/>
      <c r="BG9" s="6"/>
      <c r="BH9" s="6"/>
      <c r="BI9" s="6"/>
      <c r="BJ9" s="37"/>
      <c r="BK9" s="6"/>
      <c r="BL9" s="6"/>
      <c r="BM9" s="25">
        <v>1.5</v>
      </c>
      <c r="BO9" s="42" t="s">
        <v>65</v>
      </c>
      <c r="BP9" s="9">
        <v>260</v>
      </c>
      <c r="BQ9" s="38" t="s">
        <v>66</v>
      </c>
      <c r="BR9" s="30">
        <v>300</v>
      </c>
    </row>
    <row r="10" spans="1:76" s="22" customFormat="1" ht="113" customHeight="1">
      <c r="A10" s="43" t="s">
        <v>67</v>
      </c>
      <c r="B10" s="44" t="s">
        <v>68</v>
      </c>
      <c r="C10" s="44" t="s">
        <v>69</v>
      </c>
      <c r="D10" s="43" t="s">
        <v>70</v>
      </c>
      <c r="E10" s="43" t="s">
        <v>71</v>
      </c>
      <c r="F10" s="44" t="s">
        <v>72</v>
      </c>
      <c r="G10" s="43" t="s">
        <v>73</v>
      </c>
      <c r="H10" s="44" t="s">
        <v>74</v>
      </c>
      <c r="I10" s="44" t="s">
        <v>75</v>
      </c>
      <c r="J10" s="43" t="s">
        <v>76</v>
      </c>
      <c r="K10" s="43" t="s">
        <v>77</v>
      </c>
      <c r="L10" s="43" t="s">
        <v>78</v>
      </c>
      <c r="M10" s="43" t="s">
        <v>79</v>
      </c>
      <c r="N10" s="43" t="s">
        <v>80</v>
      </c>
      <c r="O10" s="43" t="s">
        <v>81</v>
      </c>
      <c r="P10" s="43" t="s">
        <v>82</v>
      </c>
      <c r="Q10" s="43" t="s">
        <v>83</v>
      </c>
      <c r="R10" s="247" t="s">
        <v>84</v>
      </c>
      <c r="S10" s="248"/>
      <c r="T10" s="249" t="s">
        <v>85</v>
      </c>
      <c r="U10" s="250"/>
      <c r="V10" s="45" t="s">
        <v>86</v>
      </c>
      <c r="W10" s="46" t="s">
        <v>87</v>
      </c>
      <c r="X10" s="47" t="s">
        <v>88</v>
      </c>
      <c r="Y10" s="45" t="s">
        <v>89</v>
      </c>
      <c r="Z10" s="46" t="s">
        <v>90</v>
      </c>
      <c r="AA10" s="47" t="s">
        <v>91</v>
      </c>
      <c r="AB10" s="45" t="s">
        <v>92</v>
      </c>
      <c r="AC10" s="48" t="s">
        <v>93</v>
      </c>
      <c r="AD10" s="49" t="s">
        <v>94</v>
      </c>
      <c r="AE10" s="50" t="s">
        <v>95</v>
      </c>
      <c r="AF10" s="49" t="s">
        <v>96</v>
      </c>
      <c r="AG10" s="3" t="s">
        <v>97</v>
      </c>
      <c r="AH10" s="3">
        <f>[1]各店业绩!S14*0.001</f>
        <v>147.88307</v>
      </c>
      <c r="AI10" s="51" t="s">
        <v>98</v>
      </c>
      <c r="AJ10" s="251" t="s">
        <v>99</v>
      </c>
      <c r="AK10" s="251"/>
      <c r="AX10" s="252" t="s">
        <v>100</v>
      </c>
      <c r="AY10" s="52" t="s">
        <v>101</v>
      </c>
      <c r="AZ10" s="52" t="s">
        <v>43</v>
      </c>
      <c r="BA10" s="52">
        <v>100</v>
      </c>
      <c r="BB10" s="52">
        <v>200</v>
      </c>
      <c r="BC10" s="52" t="s">
        <v>102</v>
      </c>
      <c r="BD10" s="53">
        <v>30000</v>
      </c>
      <c r="BE10" s="53"/>
      <c r="BF10" s="53">
        <v>50</v>
      </c>
      <c r="BG10" s="53">
        <v>300</v>
      </c>
      <c r="BH10" s="53">
        <v>500</v>
      </c>
      <c r="BI10" s="53">
        <v>400</v>
      </c>
      <c r="BJ10" s="54">
        <v>300</v>
      </c>
      <c r="BK10" s="53"/>
      <c r="BL10" s="53"/>
      <c r="BM10" s="55"/>
      <c r="BO10" s="42" t="s">
        <v>103</v>
      </c>
      <c r="BP10" s="9">
        <v>540</v>
      </c>
      <c r="BQ10" s="56"/>
      <c r="BR10" s="57"/>
    </row>
    <row r="11" spans="1:76" ht="55" customHeight="1">
      <c r="A11" s="58" t="s">
        <v>104</v>
      </c>
      <c r="B11" s="59">
        <f>IF(T11&gt;BD6,200,100)</f>
        <v>200</v>
      </c>
      <c r="C11" s="59">
        <f t="shared" ref="C11" si="0">B11</f>
        <v>200</v>
      </c>
      <c r="D11" s="60"/>
      <c r="E11" s="61">
        <f>100</f>
        <v>100</v>
      </c>
      <c r="F11" s="59">
        <f>IF(X11&gt;BD10,200,100)</f>
        <v>100</v>
      </c>
      <c r="G11" s="58"/>
      <c r="H11" s="59">
        <f>IF(Z11&gt;=BD12,200,100)</f>
        <v>100</v>
      </c>
      <c r="I11" s="59">
        <f t="shared" ref="I11" si="1">H11</f>
        <v>100</v>
      </c>
      <c r="J11" s="58"/>
      <c r="K11" s="61">
        <v>100</v>
      </c>
      <c r="L11" s="58"/>
      <c r="M11" s="58"/>
      <c r="N11" s="58"/>
      <c r="O11" s="58"/>
      <c r="P11" s="58"/>
      <c r="Q11" s="58">
        <f>SUM(B11:P11)</f>
        <v>900</v>
      </c>
      <c r="R11" s="253">
        <v>529182</v>
      </c>
      <c r="S11" s="254"/>
      <c r="T11" s="241">
        <f>IF(R11&gt;BJ5,BJ5,R11)</f>
        <v>500000</v>
      </c>
      <c r="U11" s="242"/>
      <c r="V11" s="62">
        <f>IF(T11&lt;BD12,0,IF(T11&lt;=BF5,BF6,IF(T11&lt;=BG5,(T11-BF5)/100000*BG6+BF6,IF(T11&lt;=BH5,(T11-BG5)/100000*BH6+BG6+BF6,IF(T11&lt;=BI5,(T11-BH5)/100000*BI6+BH6+BG6+BF6,IF(T11&lt;=BJ5,(T11-BI5)/100000*BJ6+BI6+BH6+BG6+BF6,IF(T11&lt;=BK5,(T11-BJ5)/100000*BJ6+BI6+BH6+BG6+BF6,IF(T11&lt;=BL5,(T11-BK5)/100000*BJ6+BI6+BH6+BG6+BF6))))))))</f>
        <v>1850</v>
      </c>
      <c r="W11" s="63">
        <v>8</v>
      </c>
      <c r="X11" s="63">
        <f>IF(W11&gt;BJ5,BJ5,W11)</f>
        <v>8</v>
      </c>
      <c r="Y11" s="62">
        <f>IF(X11&lt;BD12,0,IF(X11&lt;=BF5,BF10,IF(X11&lt;=BG5,(X11-BF5)/100000*BG10+BF10,IF(X11&lt;=BH5,(X11-BG5)/100000*BH10+BG10+BF10,IF(X11&lt;=BI5,(X11-BH5)/100000*BI10+BH10+BG10+BF10,IF(X11&lt;=BJ5,(X11-BI5)/100000*BJ10+BI10+BH10+BG10+BF10,IF(X11&lt;=BK5,(X11-BJ5)/100000*BJ10+BI10+BH10+BG10+BF10,IF(X11&lt;=BL5,(X11-BK5)/100000*BJ10+BI10+BH10+BG10+BF10))))))))</f>
        <v>0</v>
      </c>
      <c r="Z11" s="63">
        <v>500</v>
      </c>
      <c r="AA11" s="63">
        <f>IF(Z11&gt;BL5,BL5,Z11)</f>
        <v>500</v>
      </c>
      <c r="AB11" s="62">
        <f>IF(AA11&lt;BD12,0,IF(AA11&lt;=BF5,BF12,IF(AA11&lt;=BG5,(AA11-BF5)/100000*BG12+BF12,IF(AA11&lt;=BH5,(AA11-BG5)/100000*BH12+BG12+BF12,IF(AA11&lt;=BI5,(AA11-BH5)/100000*BI12+BH12+BG12+BF12,IF(AA11&lt;=BJ5,(AA11-BI5)/100000*BJ12+BI12+BH12+BG12+BF12,IF(AA11&lt;=BK5,(AA11-BJ5)/100000*BK12+BJ12+BI12+BH12+BG12+BF12,IF(AA11&lt;=BL5,(AA11-BK5)/100000*BL12+BK12+BJ12+BI12+BH12+BG12+BF12))))))))</f>
        <v>0</v>
      </c>
      <c r="AC11" s="62">
        <f>V11+Y11+AB11</f>
        <v>1850</v>
      </c>
      <c r="AD11" s="64"/>
      <c r="AE11" s="62">
        <f>AC11+AD11</f>
        <v>1850</v>
      </c>
      <c r="AF11" s="64"/>
      <c r="AM11" s="3"/>
      <c r="AN11" s="3"/>
      <c r="AX11" s="252"/>
      <c r="AY11" s="65" t="s">
        <v>73</v>
      </c>
      <c r="AZ11" s="65" t="s">
        <v>105</v>
      </c>
      <c r="BA11" s="65">
        <v>100</v>
      </c>
      <c r="BB11" s="65">
        <v>200</v>
      </c>
      <c r="BC11" s="65" t="s">
        <v>106</v>
      </c>
      <c r="BD11" s="53"/>
      <c r="BE11" s="66">
        <v>500</v>
      </c>
      <c r="BF11" s="66"/>
      <c r="BG11" s="53"/>
      <c r="BH11" s="53"/>
      <c r="BI11" s="53"/>
      <c r="BJ11" s="67"/>
      <c r="BK11" s="66"/>
      <c r="BL11" s="66"/>
      <c r="BM11" s="25"/>
      <c r="BN11" s="3"/>
      <c r="BO11" s="42" t="s">
        <v>107</v>
      </c>
      <c r="BP11" s="9">
        <v>860</v>
      </c>
      <c r="BQ11" s="30"/>
      <c r="BR11" s="29"/>
      <c r="BS11" s="3"/>
      <c r="BT11" s="3"/>
      <c r="BU11" s="3"/>
      <c r="BV11" s="3"/>
      <c r="BW11" s="3"/>
    </row>
    <row r="12" spans="1:76" ht="55" customHeight="1">
      <c r="A12" s="58" t="s">
        <v>108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241">
        <v>165961</v>
      </c>
      <c r="S12" s="242"/>
      <c r="T12" s="245">
        <f>IF(R12&gt;BJ5,BJ5,R12)</f>
        <v>165961</v>
      </c>
      <c r="U12" s="246"/>
      <c r="V12" s="62">
        <f>IF(T12&lt;BD12,0,IF(T12&lt;=BF5,BF6,IF(T12&lt;=BG5,(T12-BF5)/100000*BG6+BF6,IF(T12&lt;=BH5,(T12-BG5)/100000*BH6+BG6+BF6,IF(T12&lt;=BI5,(T12-BH5)/100000*BI6+BH6+BG6+BF6,IF(T12&lt;=BJ5,(T12-BI5)/100000*BJ6+BI6+BH6+BG6+BF6,IF(S96&lt;=BK5,(T12-BJ5)/100000*BJ6+BI6+BH6+BG6+BF6,IF(T12&lt;=BL5,(T12-BK5)/100000*BJ6+BI6+BH6+BG6+BF6))))))))</f>
        <v>247.88300000000001</v>
      </c>
      <c r="W12" s="63">
        <v>0</v>
      </c>
      <c r="X12" s="58">
        <f>IF(W12&gt;BJ5,BJ5,W12)</f>
        <v>0</v>
      </c>
      <c r="Y12" s="58">
        <f>IF(X12&lt;BD12,0,IF(X12&lt;=BF5,BF10,IF(X12&lt;=BG5,(X12-BF5)/100000*BG10+BF10,IF(X12&lt;=BH5,(X12-BG5)/100000*BH10+BG10+BF10,IF(X12&lt;=BI5,(X12-BH5)/100000*BI10+BH10+BG10+BF10,IF(X12&lt;=BJ5,(X12-BI5)/100000*BJ10+BI10+BH10+BG10+BF10,IF(X12&lt;=BK5,(X12-BJ5)/100000*BJ10+BI10+BH10+BG10+BF10,IF(X12&lt;=BL5,(X12-BK5)/100000*BJ10+BI10+BH10+BG10+BF10))))))))</f>
        <v>0</v>
      </c>
      <c r="Z12" s="63">
        <v>0</v>
      </c>
      <c r="AA12" s="58">
        <f>IF(Z12&gt;BL5,BL5,Z12)</f>
        <v>0</v>
      </c>
      <c r="AB12" s="58">
        <f>IF(AA12&lt;BD12,0,IF(AA12&lt;=BF5,BF12,IF(AA12&lt;=BG5,(AA12-BF5)/100000*BG12+BF12,IF(AA12&lt;=BH5,(AA12-BG5)/100000*BH12+BG12+BF12,IF(AA12&lt;=BI5,(AA12-BH5)/100000*BI12+BH12+BG12+BF12,IF(AA12&lt;=BJ5,(AA12-BI5)/100000*BJ12+BI12+BH12+BG12+BF12,IF(AA12&lt;=BK5,(AA12-BJ5)/100000*BK12+BJ12+BI12+BH12+BG12+BF12,IF(AA12&lt;=BL5,(AA12-BK5)/100000*BL12+BK12+BJ12+BI12+BH12+BG12+BF12))))))))</f>
        <v>0</v>
      </c>
      <c r="AC12" s="62">
        <f>V12+Y12+AB12</f>
        <v>247.88300000000001</v>
      </c>
      <c r="AD12" s="64"/>
      <c r="AE12" s="64">
        <f>AC12+AD12</f>
        <v>247.88300000000001</v>
      </c>
      <c r="AF12" s="64"/>
      <c r="AL12" s="1"/>
      <c r="AM12" s="1"/>
      <c r="AN12" s="3"/>
      <c r="AX12" s="236" t="s">
        <v>109</v>
      </c>
      <c r="AY12" s="53" t="s">
        <v>74</v>
      </c>
      <c r="AZ12" s="53" t="s">
        <v>43</v>
      </c>
      <c r="BA12" s="53">
        <v>100</v>
      </c>
      <c r="BB12" s="53">
        <v>200</v>
      </c>
      <c r="BC12" s="53" t="s">
        <v>110</v>
      </c>
      <c r="BD12" s="53">
        <v>50000</v>
      </c>
      <c r="BE12" s="237" t="s">
        <v>111</v>
      </c>
      <c r="BF12" s="237">
        <v>50</v>
      </c>
      <c r="BG12" s="237">
        <v>150</v>
      </c>
      <c r="BH12" s="236">
        <v>200</v>
      </c>
      <c r="BI12" s="236">
        <v>200</v>
      </c>
      <c r="BJ12" s="237">
        <v>200</v>
      </c>
      <c r="BK12" s="237">
        <v>400</v>
      </c>
      <c r="BL12" s="238">
        <v>200</v>
      </c>
      <c r="BM12" s="7"/>
      <c r="BN12" s="3"/>
      <c r="BO12" s="29"/>
      <c r="BP12" s="30">
        <v>300</v>
      </c>
      <c r="BQ12" s="29"/>
      <c r="BR12" s="29"/>
      <c r="BS12" s="3"/>
      <c r="BT12" s="3"/>
      <c r="BU12" s="3"/>
      <c r="BV12" s="3"/>
      <c r="BW12" s="3"/>
    </row>
    <row r="13" spans="1:76" ht="55" customHeight="1">
      <c r="A13" s="68" t="s">
        <v>112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>
        <f>SUM(B13:P13)</f>
        <v>0</v>
      </c>
      <c r="R13" s="239">
        <v>0</v>
      </c>
      <c r="S13" s="240"/>
      <c r="T13" s="241">
        <f>IF(R13=0,0,IF(R13&gt;BJ5,BJ5,R13+100000))</f>
        <v>0</v>
      </c>
      <c r="U13" s="242"/>
      <c r="V13" s="62">
        <f>IF(T13&lt;BD12,0,IF(T13&lt;=BF5,BF6,IF(T13&lt;=BG5,(T13-BF5)/100000*BG6+BF6,IF(T13&lt;=BH5,(T13-BG5)/100000*BH6+BG6+BF6,IF(T13&lt;=BI5,(T13-BH5)/100000*BI6+BH6+BG6+BF6,IF(T13&lt;=BJ5,(T13-BI5)/100000*BJ6+BI6+BH6+BG6+BF6,IF(T13&lt;=BK5,(T13-BJ5)/100000*BJ6+BI6+BH6+BG6+BF6,IF(T13&lt;=BL5,(T13-BK5)/100000*BJ6+BI6+BH6+BG6+BF6))))))))</f>
        <v>0</v>
      </c>
      <c r="W13" s="63">
        <v>0</v>
      </c>
      <c r="X13" s="63">
        <f>IF(W13=0,0,IF(W13&gt;BJ5,BJ5,W13+100000))</f>
        <v>0</v>
      </c>
      <c r="Y13" s="62">
        <f>IF(X13&lt;BD12,0,IF(X13&lt;=BF5,BF10,IF(X13&lt;=BG5,(X13-BF5)/100000*BG10+BF10,IF(X13&lt;=BH5,(X13-BG5)/100000*BH10+BG10+BF10,IF(X13&lt;=BI5,(X13-BH5)/100000*BI10+BH10+BG10+BF10,IF(X13&lt;=BJ5,(X13-BI5)/100000*BJ10+BI10+BH10+BG10+BF10,IF(X13&lt;=BK5,(X13-BJ5)/100000*BJ10+BI10+BH10+BG10+BF10,IF(X13&lt;=BL5,(X13-BK5)/100000*BJ10+BI10+BH10+BG10+BF10))))))))</f>
        <v>0</v>
      </c>
      <c r="Z13" s="69">
        <v>0</v>
      </c>
      <c r="AA13" s="70">
        <f>IF(Z13=0,0,IF(Z13&gt;BL5,BL5,Z13+100000))</f>
        <v>0</v>
      </c>
      <c r="AB13" s="71">
        <f>IF(AA13&lt;BD12,0,IF(AA13&lt;=BF5,BF12,IF(AA13&lt;=BG5,(AA13-BF5)/100000*BG12+BF12,IF(AA13&lt;=BH5,(AA13-BG5)/100000*BH12+BG12+BF12,IF(AA13&lt;=BI5,(AA13-BH5)/100000*BI12+BH12+BG12+BF12,IF(AA13&lt;=BJ5,(AA13-BI5)/100000*BJ12+BI12+BH12+BG12+BF12,IF(AA13&lt;=BK5,(AA13-BJ5)/100000*BK12+BJ12+BI12+BH12+BG12+BF12,IF(AA13&lt;=BL5,(AA13-BK5)/100000*BL12+BK12+BJ12+BI12+BH12+BG12+BF12))))))))</f>
        <v>0</v>
      </c>
      <c r="AC13" s="71">
        <f t="shared" ref="AC13" si="2">V13+Y13+AB13</f>
        <v>0</v>
      </c>
      <c r="AD13" s="72"/>
      <c r="AE13" s="71">
        <f t="shared" ref="AE13:AE14" si="3">AC13+AD13</f>
        <v>0</v>
      </c>
      <c r="AF13" s="64"/>
      <c r="AG13" s="73"/>
      <c r="AH13" s="73"/>
      <c r="AM13" s="3"/>
      <c r="AN13" s="3"/>
      <c r="AX13" s="236"/>
      <c r="AY13" s="53" t="s">
        <v>75</v>
      </c>
      <c r="AZ13" s="53" t="s">
        <v>43</v>
      </c>
      <c r="BA13" s="53">
        <v>100</v>
      </c>
      <c r="BB13" s="53">
        <v>200</v>
      </c>
      <c r="BC13" s="53" t="s">
        <v>113</v>
      </c>
      <c r="BD13" s="53"/>
      <c r="BE13" s="237"/>
      <c r="BF13" s="237"/>
      <c r="BG13" s="237"/>
      <c r="BH13" s="236"/>
      <c r="BI13" s="236"/>
      <c r="BJ13" s="237"/>
      <c r="BK13" s="237"/>
      <c r="BL13" s="238"/>
      <c r="BM13" s="7"/>
      <c r="BN13" s="3"/>
      <c r="BO13" s="29"/>
      <c r="BP13" s="30">
        <v>600</v>
      </c>
      <c r="BQ13" s="29"/>
      <c r="BR13" s="29"/>
      <c r="BS13" s="3"/>
      <c r="BT13" s="3"/>
      <c r="BU13" s="3"/>
      <c r="BV13" s="3"/>
      <c r="BW13" s="3"/>
    </row>
    <row r="14" spans="1:76" ht="55" customHeight="1">
      <c r="A14" s="68" t="s">
        <v>114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243"/>
      <c r="S14" s="244"/>
      <c r="T14" s="241">
        <f>IF(S14=0,0,IF(S14&gt;BJ5,BJ5,100000+S14))</f>
        <v>0</v>
      </c>
      <c r="U14" s="242"/>
      <c r="V14" s="62">
        <f>IF(T14&lt;BD12,0,IF(T14&lt;=BF5,BF6,IF(T14&lt;=BG5,(T14-BF5)/100000*BG6+BF6,IF(T14&lt;=BH5,(T14-BG5)/100000*BH6+BG6+BF6,IF(T14&lt;=BI5,(T14-BH5)/100000*BI6+BH6+BG6+BF6,IF(T14&lt;=BJ5,(T14-BI5)/100000*BJ6+BI6+BH6+BG6+BF6,IF(T14&lt;=BK5,(T14-BJ5)/100000*BJ6+BI6+BH6+BG6+BF6,IF(T14&lt;=BL5,(T14-BK5)/100000*BJ6+BI6+BH6+BG6+BF6))))))))</f>
        <v>0</v>
      </c>
      <c r="W14" s="69"/>
      <c r="X14" s="63">
        <f>IF(W14=0,0,IF(W14&gt;BJ5,BJ5,100000+W14))</f>
        <v>0</v>
      </c>
      <c r="Y14" s="62">
        <f>IF(X14&lt;BD12,0,IF(X14&lt;=BF5,BF10,IF(X14&lt;=BG5,(X14-BF5)/100000*BG10+BF10,IF(X14&lt;=BH5,(X14-BG5)/100000*BH10+BG10+BF10,IF(X14&lt;=BI5,(X14-BH5)/100000*BI10+BH10+BG10+BF10,IF(X14&lt;=BJ5,(X14-BI5)/100000*BJ10+BI10+BH10+BG10+BF10,IF(X14&lt;=BK5,(X14-BJ5)/100000*BJ10+BI10+BH10+BG10+BF10,IF(X14&lt;=BL5,(X14-BK5)/100000*BJ10+BI10+BH10+BG10+BF10))))))))</f>
        <v>0</v>
      </c>
      <c r="Z14" s="69"/>
      <c r="AA14" s="74">
        <f>IF(Z14=0,0,IF(Z14&gt;BL5,BL5,Z14+100000))</f>
        <v>0</v>
      </c>
      <c r="AB14" s="75">
        <f>IF(AA14&lt;BD12,0,IF(AA14&lt;=BF5,BF12,IF(AA14&lt;=BG5,(AA14-BF5)/100000*BG12+BF12,IF(AA14&lt;=BH5,(AA14-BG5)/100000*BH12+BG12+BF12,IF(AA14&lt;=BI5,(AA14-BH5)/100000*BI12+BH12+BG12+BF12,IF(AA14&lt;=BJ5,(AA14-BI5)/100000*BJ12+BI12+BH12+BG12+BF12,IF(AA14&lt;=BK5,(AA14-BJ5)/100000*BK12+BJ12+BI12+BH12+BG12+BF12,IF(AA14&lt;=BL5,(AA14-BK5)/100000*BL12+BK12+BJ12+BI12+BH12+BG12+BF12))))))))</f>
        <v>0</v>
      </c>
      <c r="AC14" s="75">
        <f>V14+Y14+AB14</f>
        <v>0</v>
      </c>
      <c r="AD14" s="76"/>
      <c r="AE14" s="75">
        <f t="shared" si="3"/>
        <v>0</v>
      </c>
      <c r="AF14" s="64"/>
      <c r="AG14" s="73"/>
      <c r="AH14" s="73"/>
      <c r="AI14" s="73"/>
      <c r="AJ14" s="73"/>
      <c r="AK14" s="77"/>
      <c r="AL14" s="36"/>
      <c r="AM14" s="3"/>
      <c r="AN14" s="3"/>
      <c r="AX14" s="236"/>
      <c r="AY14" s="65" t="s">
        <v>76</v>
      </c>
      <c r="AZ14" s="65" t="s">
        <v>105</v>
      </c>
      <c r="BA14" s="65">
        <v>100</v>
      </c>
      <c r="BB14" s="65">
        <v>200</v>
      </c>
      <c r="BC14" s="65" t="s">
        <v>115</v>
      </c>
      <c r="BD14" s="53"/>
      <c r="BE14" s="66">
        <v>500</v>
      </c>
      <c r="BF14" s="237"/>
      <c r="BG14" s="237"/>
      <c r="BH14" s="236"/>
      <c r="BI14" s="236"/>
      <c r="BJ14" s="237"/>
      <c r="BK14" s="237"/>
      <c r="BL14" s="238"/>
      <c r="BM14" s="7"/>
      <c r="BN14" s="3"/>
      <c r="BO14" s="29"/>
      <c r="BP14" s="30">
        <v>900</v>
      </c>
      <c r="BQ14" s="29"/>
      <c r="BR14" s="29"/>
      <c r="BS14" s="3"/>
      <c r="BT14" s="3"/>
      <c r="BU14" s="3"/>
      <c r="BV14" s="3"/>
      <c r="BW14" s="3"/>
    </row>
    <row r="15" spans="1:76" ht="55" customHeight="1">
      <c r="AE15" s="73"/>
      <c r="AF15" s="73"/>
      <c r="AG15" s="73"/>
      <c r="AH15" s="73"/>
      <c r="AI15" s="73"/>
      <c r="AJ15" s="36"/>
      <c r="AM15" s="3"/>
      <c r="AN15" s="3"/>
      <c r="AX15" s="66" t="s">
        <v>116</v>
      </c>
      <c r="AY15" s="53" t="s">
        <v>117</v>
      </c>
      <c r="AZ15" s="66" t="s">
        <v>43</v>
      </c>
      <c r="BA15" s="66">
        <v>100</v>
      </c>
      <c r="BB15" s="66">
        <v>200</v>
      </c>
      <c r="BC15" s="66" t="s">
        <v>118</v>
      </c>
      <c r="BD15" s="53" t="s">
        <v>119</v>
      </c>
      <c r="BE15" s="66" t="s">
        <v>120</v>
      </c>
      <c r="BF15" s="78"/>
      <c r="BG15" s="78"/>
      <c r="BH15" s="78"/>
      <c r="BI15" s="78"/>
      <c r="BJ15" s="78"/>
      <c r="BK15" s="78"/>
      <c r="BL15" s="78"/>
      <c r="BM15" s="7"/>
      <c r="BN15" s="3"/>
      <c r="BO15" s="3"/>
      <c r="BP15" s="3"/>
      <c r="BQ15" s="3"/>
      <c r="BR15" s="3"/>
      <c r="BS15" s="3"/>
      <c r="BT15" s="3"/>
      <c r="BU15" s="3"/>
      <c r="BV15" s="3"/>
      <c r="BW15" s="3"/>
    </row>
    <row r="16" spans="1:76" ht="81" customHeight="1">
      <c r="A16" s="79"/>
      <c r="B16" s="232" t="s">
        <v>121</v>
      </c>
      <c r="C16" s="232"/>
      <c r="D16" s="232"/>
      <c r="E16" s="232"/>
      <c r="F16" s="232"/>
      <c r="G16" s="233" t="s">
        <v>122</v>
      </c>
      <c r="H16" s="233"/>
      <c r="I16" s="233"/>
      <c r="J16" s="226" t="s">
        <v>123</v>
      </c>
      <c r="K16" s="226"/>
      <c r="L16" s="226"/>
      <c r="M16" s="226"/>
      <c r="N16" s="226"/>
      <c r="O16" s="234" t="s">
        <v>124</v>
      </c>
      <c r="P16" s="234"/>
      <c r="Q16" s="234"/>
      <c r="R16" s="235" t="s">
        <v>125</v>
      </c>
      <c r="S16" s="235"/>
      <c r="T16" s="235" t="s">
        <v>126</v>
      </c>
      <c r="U16" s="235"/>
      <c r="V16" s="235"/>
      <c r="W16" s="225" t="s">
        <v>127</v>
      </c>
      <c r="X16" s="225"/>
      <c r="Y16" s="225"/>
      <c r="Z16" s="226" t="s">
        <v>128</v>
      </c>
      <c r="AA16" s="226" t="s">
        <v>129</v>
      </c>
      <c r="AB16" s="228" t="s">
        <v>130</v>
      </c>
      <c r="AC16" s="199" t="s">
        <v>61</v>
      </c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81"/>
      <c r="AQ16" s="82"/>
      <c r="AR16" s="82"/>
      <c r="AS16" s="82"/>
      <c r="AT16" s="82"/>
      <c r="AU16" s="82"/>
      <c r="AV16" s="82"/>
      <c r="AX16" s="83" t="s">
        <v>1</v>
      </c>
      <c r="AY16" s="230" t="s">
        <v>121</v>
      </c>
      <c r="AZ16" s="231"/>
      <c r="BA16" s="231"/>
      <c r="BB16" s="231"/>
      <c r="BC16" s="231"/>
      <c r="BD16" s="214" t="s">
        <v>122</v>
      </c>
      <c r="BE16" s="214"/>
      <c r="BF16" s="214"/>
      <c r="BG16" s="215" t="s">
        <v>123</v>
      </c>
      <c r="BH16" s="216"/>
      <c r="BI16" s="216"/>
      <c r="BJ16" s="216"/>
      <c r="BK16" s="217"/>
      <c r="BL16" s="218" t="s">
        <v>124</v>
      </c>
      <c r="BM16" s="219"/>
      <c r="BN16" s="220"/>
      <c r="BO16" s="221" t="s">
        <v>125</v>
      </c>
      <c r="BP16" s="222"/>
      <c r="BQ16" s="223" t="s">
        <v>126</v>
      </c>
      <c r="BR16" s="223"/>
      <c r="BS16" s="223"/>
      <c r="BT16" s="224" t="s">
        <v>127</v>
      </c>
      <c r="BU16" s="224"/>
      <c r="BV16" s="224"/>
      <c r="BW16" s="84" t="s">
        <v>128</v>
      </c>
      <c r="BX16" s="86" t="s">
        <v>129</v>
      </c>
    </row>
    <row r="17" spans="1:89" s="22" customFormat="1" ht="189" customHeight="1">
      <c r="A17" s="87" t="s">
        <v>67</v>
      </c>
      <c r="B17" s="88" t="s">
        <v>131</v>
      </c>
      <c r="C17" s="88" t="s">
        <v>132</v>
      </c>
      <c r="D17" s="88" t="s">
        <v>133</v>
      </c>
      <c r="E17" s="88" t="s">
        <v>134</v>
      </c>
      <c r="F17" s="88" t="s">
        <v>135</v>
      </c>
      <c r="G17" s="89" t="s">
        <v>136</v>
      </c>
      <c r="H17" s="89" t="s">
        <v>137</v>
      </c>
      <c r="I17" s="90" t="s">
        <v>73</v>
      </c>
      <c r="J17" s="91" t="s">
        <v>74</v>
      </c>
      <c r="K17" s="91" t="s">
        <v>138</v>
      </c>
      <c r="L17" s="91" t="s">
        <v>139</v>
      </c>
      <c r="M17" s="91" t="s">
        <v>140</v>
      </c>
      <c r="N17" s="90" t="s">
        <v>141</v>
      </c>
      <c r="O17" s="92" t="s">
        <v>142</v>
      </c>
      <c r="P17" s="92" t="s">
        <v>143</v>
      </c>
      <c r="Q17" s="92" t="s">
        <v>144</v>
      </c>
      <c r="R17" s="89" t="s">
        <v>145</v>
      </c>
      <c r="S17" s="89" t="s">
        <v>146</v>
      </c>
      <c r="T17" s="89" t="s">
        <v>136</v>
      </c>
      <c r="U17" s="89" t="s">
        <v>147</v>
      </c>
      <c r="V17" s="89" t="s">
        <v>148</v>
      </c>
      <c r="W17" s="93" t="s">
        <v>149</v>
      </c>
      <c r="X17" s="93" t="s">
        <v>150</v>
      </c>
      <c r="Y17" s="93" t="s">
        <v>151</v>
      </c>
      <c r="Z17" s="227"/>
      <c r="AA17" s="227"/>
      <c r="AB17" s="229"/>
      <c r="AC17" s="94" t="s">
        <v>84</v>
      </c>
      <c r="AD17" s="95" t="s">
        <v>85</v>
      </c>
      <c r="AE17" s="96" t="s">
        <v>86</v>
      </c>
      <c r="AF17" s="94" t="s">
        <v>87</v>
      </c>
      <c r="AG17" s="95" t="s">
        <v>88</v>
      </c>
      <c r="AH17" s="96" t="s">
        <v>89</v>
      </c>
      <c r="AI17" s="94" t="s">
        <v>90</v>
      </c>
      <c r="AJ17" s="95" t="s">
        <v>91</v>
      </c>
      <c r="AK17" s="96" t="s">
        <v>92</v>
      </c>
      <c r="AL17" s="97" t="s">
        <v>152</v>
      </c>
      <c r="AM17" s="98" t="s">
        <v>153</v>
      </c>
      <c r="AN17" s="99" t="s">
        <v>94</v>
      </c>
      <c r="AO17" s="100" t="s">
        <v>154</v>
      </c>
      <c r="AP17" s="101"/>
      <c r="AQ17" s="101"/>
      <c r="AR17" s="101"/>
      <c r="AS17" s="101"/>
      <c r="AT17" s="101"/>
      <c r="AU17" s="101"/>
      <c r="AV17" s="101"/>
      <c r="AW17" s="102"/>
      <c r="AX17" s="103" t="s">
        <v>2</v>
      </c>
      <c r="AY17" s="88" t="s">
        <v>131</v>
      </c>
      <c r="AZ17" s="88" t="s">
        <v>132</v>
      </c>
      <c r="BA17" s="88" t="s">
        <v>133</v>
      </c>
      <c r="BB17" s="88" t="s">
        <v>134</v>
      </c>
      <c r="BC17" s="88" t="s">
        <v>135</v>
      </c>
      <c r="BD17" s="89" t="s">
        <v>136</v>
      </c>
      <c r="BE17" s="89" t="s">
        <v>137</v>
      </c>
      <c r="BF17" s="90" t="s">
        <v>73</v>
      </c>
      <c r="BG17" s="91" t="s">
        <v>74</v>
      </c>
      <c r="BH17" s="91" t="s">
        <v>138</v>
      </c>
      <c r="BI17" s="91" t="s">
        <v>139</v>
      </c>
      <c r="BJ17" s="91" t="s">
        <v>140</v>
      </c>
      <c r="BK17" s="90" t="s">
        <v>141</v>
      </c>
      <c r="BL17" s="92" t="s">
        <v>142</v>
      </c>
      <c r="BM17" s="92" t="s">
        <v>143</v>
      </c>
      <c r="BN17" s="92" t="s">
        <v>144</v>
      </c>
      <c r="BO17" s="89" t="s">
        <v>145</v>
      </c>
      <c r="BP17" s="89" t="s">
        <v>146</v>
      </c>
      <c r="BQ17" s="89" t="s">
        <v>136</v>
      </c>
      <c r="BR17" s="89" t="s">
        <v>147</v>
      </c>
      <c r="BS17" s="89" t="s">
        <v>148</v>
      </c>
      <c r="BT17" s="93" t="s">
        <v>149</v>
      </c>
      <c r="BU17" s="93" t="s">
        <v>150</v>
      </c>
      <c r="BV17" s="93" t="s">
        <v>151</v>
      </c>
      <c r="BW17" s="85"/>
      <c r="BX17" s="104"/>
    </row>
    <row r="18" spans="1:89" ht="55" customHeight="1">
      <c r="A18" s="105" t="s">
        <v>155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9"/>
      <c r="O18" s="19"/>
      <c r="P18" s="19"/>
      <c r="Q18" s="19"/>
      <c r="R18" s="105"/>
      <c r="S18" s="105"/>
      <c r="T18" s="105"/>
      <c r="U18" s="19"/>
      <c r="V18" s="19"/>
      <c r="W18" s="19"/>
      <c r="X18" s="19"/>
      <c r="Y18" s="19"/>
      <c r="Z18" s="19"/>
      <c r="AA18" s="19"/>
      <c r="AB18" s="106"/>
      <c r="AC18" s="19">
        <v>11958</v>
      </c>
      <c r="AD18" s="19">
        <f>IF(AC18&gt;AY28,AY28,AC18)</f>
        <v>11958</v>
      </c>
      <c r="AE18" s="107">
        <f>IF(AD18&lt;AY22,0,IF(AD18&lt;=AY23,AZ23,IF(AD18&lt;=AY24,(AD18-AY23)/100000*AZ24+AZ23,IF(AD18&lt;=AY25,(AD18-AY24)/100000*AZ25+AZ24+AZ23,IF(AD18&lt;=AY26,(AD18-AY25)/100000*AZ26+AZ25+AZ24+AZ23,IF(AD18&lt;=AY27,(AD18-AY26)/100000*AZ27+AZ26+AZ25+AZ24+AZ23,IF(AD18&lt;=AY28,(AD18-AY27)/80000*AZ28+AZ27+AZ26+AZ25+AZ24+AZ23)))))))</f>
        <v>50</v>
      </c>
      <c r="AF18" s="19">
        <v>14161.37</v>
      </c>
      <c r="AG18" s="19">
        <f>IF(AF18&gt;BD28,BD28,AF18)</f>
        <v>14161.37</v>
      </c>
      <c r="AH18" s="107">
        <f>IF(AG18&lt;BD22,0,IF(AG18&lt;=BD23,BE23,IF(AG18&lt;=BD24,(AG18-BD23)/100000*BE24+BE23,IF(AG18&lt;=BD25,(AG18-BD24)/100000*BE25+BE24+BE23,IF(AG18&lt;=BD26,(AG18-BD25)/100000*BE26+BE25+BE24+BE23,IF(AG18&lt;=BD27,(AG18-BD26)/100000*BE27+BE26+BE25+BE24+BE23,IF(AG18&lt;=BD28,(AG18-BD27)/70000*BE28+BE27+BE26+BE25+BE24+BE23)))))))</f>
        <v>50</v>
      </c>
      <c r="AI18" s="19">
        <v>394247.38</v>
      </c>
      <c r="AJ18" s="19">
        <f>IF(AI18&gt;BG30,BG30,AI18)</f>
        <v>394247.38</v>
      </c>
      <c r="AK18" s="107">
        <f>IF(AJ18&lt;BG22,0,IF(AJ18&lt;=BG23,BH23,IF(AJ18&lt;=BG24,(AJ18-BG23)/100000*BH24+BH23,IF(AJ18&lt;=BG25,(AJ18-BG24)/100000*BH25+BH24+BH23,IF(AJ18&lt;=BG26,(AJ18-BG25)/100000*BH26+BH25+BH24+BH23,IF(AJ18&lt;=BG27,(AJ18-BG26)/100000*BH27+BH26+BH25+BH24+BH23,IF(AJ18&lt;=BG28,(AJ18-BG27)/100000*BH28+BH27+BH26+BH25+BH24+BH23,IF(AJ18&lt;=BG29,(AJ18-BG28)/100000*BH29+BH28+BH27+BH26+BH25+BH24+BH23,IF(AJ18&lt;=BG30,(AJ18-BG29)/100000*BH30+BH29+BH28+BH27+BH26+BH25+BH24+BH23)))))))))</f>
        <v>628.49476000000004</v>
      </c>
      <c r="AL18" s="107">
        <f t="shared" ref="AL18:AL19" si="4">AE18+AH18+AK18</f>
        <v>728.49476000000004</v>
      </c>
      <c r="AM18" s="105"/>
      <c r="AN18" s="107"/>
      <c r="AO18" s="108">
        <f>AL18+AN18</f>
        <v>728.49476000000004</v>
      </c>
      <c r="AP18" s="101"/>
      <c r="AQ18" s="101"/>
      <c r="AR18" s="209" t="s">
        <v>156</v>
      </c>
      <c r="AS18" s="210"/>
      <c r="AT18" s="210"/>
      <c r="AU18" s="210"/>
      <c r="AV18" s="211"/>
      <c r="AW18" s="77"/>
      <c r="AX18" s="103" t="s">
        <v>4</v>
      </c>
      <c r="AY18" s="34">
        <v>20</v>
      </c>
      <c r="AZ18" s="34">
        <v>20</v>
      </c>
      <c r="BA18" s="34">
        <v>20</v>
      </c>
      <c r="BB18" s="34">
        <v>20</v>
      </c>
      <c r="BC18" s="34">
        <v>20</v>
      </c>
      <c r="BD18" s="34">
        <v>20</v>
      </c>
      <c r="BE18" s="34">
        <v>20</v>
      </c>
      <c r="BF18" s="34">
        <v>20</v>
      </c>
      <c r="BG18" s="34">
        <v>20</v>
      </c>
      <c r="BH18" s="34">
        <v>20</v>
      </c>
      <c r="BI18" s="34">
        <v>20</v>
      </c>
      <c r="BJ18" s="34">
        <v>20</v>
      </c>
      <c r="BK18" s="34">
        <v>20</v>
      </c>
      <c r="BL18" s="34">
        <v>20</v>
      </c>
      <c r="BM18" s="34">
        <v>20</v>
      </c>
      <c r="BN18" s="34">
        <v>20</v>
      </c>
      <c r="BO18" s="34">
        <v>20</v>
      </c>
      <c r="BP18" s="34">
        <v>20</v>
      </c>
      <c r="BQ18" s="34">
        <v>20</v>
      </c>
      <c r="BR18" s="34">
        <v>20</v>
      </c>
      <c r="BS18" s="34">
        <v>20</v>
      </c>
      <c r="BT18" s="34">
        <v>20</v>
      </c>
      <c r="BU18" s="34">
        <v>20</v>
      </c>
      <c r="BV18" s="34">
        <v>20</v>
      </c>
      <c r="BW18" s="34">
        <v>20</v>
      </c>
      <c r="BX18" s="34"/>
    </row>
    <row r="19" spans="1:89" ht="55" customHeight="1">
      <c r="A19" s="105" t="s">
        <v>157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9"/>
      <c r="O19" s="19"/>
      <c r="P19" s="19"/>
      <c r="Q19" s="19"/>
      <c r="R19" s="105"/>
      <c r="S19" s="105"/>
      <c r="T19" s="105"/>
      <c r="U19" s="19"/>
      <c r="V19" s="19"/>
      <c r="W19" s="19"/>
      <c r="X19" s="19"/>
      <c r="Y19" s="19"/>
      <c r="Z19" s="19"/>
      <c r="AA19" s="19"/>
      <c r="AB19" s="106"/>
      <c r="AC19" s="19">
        <v>57235.74</v>
      </c>
      <c r="AD19" s="19">
        <f>IF(AC19&gt;AY28,AY28,AC19)</f>
        <v>57235.74</v>
      </c>
      <c r="AE19" s="107">
        <f>IF(AD19&lt;AY22,0,IF(AD19&lt;=AY23,AZ23,IF(AD19&lt;=AY24,(AD19-AY23)/100000*AZ24+AZ23,IF(AD19&lt;=AY25,(AD19-AY24)/100000*AZ25+AZ24+AZ23,IF(AD19&lt;=AY26,(AD19-AY25)/100000*AZ26+AZ25+AZ24+AZ23,IF(AD19&lt;=AY27,(AD19-AY26)/100000*AZ27+AZ26+AZ25+AZ24+AZ23,IF(AD19&lt;=AY28,(AD19-AY27)/80000*AZ28+AZ27+AZ26+AZ25+AZ24+AZ23)))))))</f>
        <v>161.70722000000001</v>
      </c>
      <c r="AF19" s="19">
        <v>9874.5</v>
      </c>
      <c r="AG19" s="19">
        <f>IF(AF19&gt;BD28,BD28,AF19)</f>
        <v>9874.5</v>
      </c>
      <c r="AH19" s="107">
        <f>IF(AG19&lt;BD22,0,IF(AG19&lt;=BD23,BE23,IF(AG19&lt;=BD24,(AG19-BD23)/100000*BE24+BE23,IF(AG19&lt;=BD25,(AG19-BD24)/100000*BE25+BE24+BE23,IF(AG19&lt;=BD26,(AG19-BD25)/100000*BE26+BE25+BE24+BE23,IF(AG19&lt;=BD27,(AG19-BD26)/100000*BE27+BE26+BE25+BE24+BE23,IF(AG19&lt;=BD28,(AG19-BD27)/70000*BE28+BE27+BE26+BE25+BE24+BE23)))))))</f>
        <v>0</v>
      </c>
      <c r="AI19" s="19">
        <v>118511.2</v>
      </c>
      <c r="AJ19" s="19">
        <f>IF(AI19&gt;BG30,BG30,AI19)</f>
        <v>118511.2</v>
      </c>
      <c r="AK19" s="107">
        <f>IF(AJ19&lt;BG22,0,IF(AJ19&lt;=BG23,BH23,IF(AJ19&lt;=BG24,(AJ19-BG23)/100000*BH24+BH23,IF(AJ19&lt;=BG25,(AJ19-BG24)/100000*BH25+BH24+BH23,IF(AJ19&lt;=BG26,(AJ19-BG25)/100000*BH26+BH25+BH24+BH23,IF(AJ19&lt;=BG27,(AJ19-BG26)/100000*BH27+BH26+BH25+BH24+BH23,IF(AJ19&lt;=BG28,(AJ19-BG27)/100000*BH28+BH27+BH26+BH25+BH24+BH23,IF(AJ19&lt;=BG29,(AJ19-BG28)/100000*BH29+BH28+BH27+BH26+BH25+BH24+BH23,IF(AJ19&lt;=BG30,(AJ19-BG29)/100000*BH30+BH29+BH28+BH27+BH26+BH25+BH24+BH23)))))))))</f>
        <v>107.76679999999999</v>
      </c>
      <c r="AL19" s="107">
        <f t="shared" si="4"/>
        <v>269.47402</v>
      </c>
      <c r="AM19" s="108"/>
      <c r="AN19" s="107"/>
      <c r="AO19" s="108">
        <f>AL19+AN19</f>
        <v>269.47402</v>
      </c>
      <c r="AP19" s="101"/>
      <c r="AQ19" s="101"/>
      <c r="AR19" s="109" t="s">
        <v>67</v>
      </c>
      <c r="AS19" s="109" t="s">
        <v>158</v>
      </c>
      <c r="AT19" s="109" t="s">
        <v>159</v>
      </c>
      <c r="AU19" s="109" t="s">
        <v>160</v>
      </c>
      <c r="AV19" s="109" t="s">
        <v>161</v>
      </c>
      <c r="AW19" s="77"/>
      <c r="AX19" s="103" t="s">
        <v>5</v>
      </c>
      <c r="AY19" s="34">
        <v>100</v>
      </c>
      <c r="AZ19" s="34">
        <v>300</v>
      </c>
      <c r="BA19" s="34">
        <v>100</v>
      </c>
      <c r="BB19" s="34">
        <v>200</v>
      </c>
      <c r="BC19" s="34">
        <v>100</v>
      </c>
      <c r="BD19" s="34">
        <v>300</v>
      </c>
      <c r="BE19" s="34">
        <v>200</v>
      </c>
      <c r="BF19" s="34">
        <v>200</v>
      </c>
      <c r="BG19" s="34">
        <v>50</v>
      </c>
      <c r="BH19" s="34">
        <v>50</v>
      </c>
      <c r="BI19" s="34">
        <v>50</v>
      </c>
      <c r="BJ19" s="34">
        <v>200</v>
      </c>
      <c r="BK19" s="34">
        <v>150</v>
      </c>
      <c r="BL19" s="34">
        <v>50</v>
      </c>
      <c r="BM19" s="34">
        <v>50</v>
      </c>
      <c r="BN19" s="34">
        <v>50</v>
      </c>
      <c r="BO19" s="34">
        <v>50</v>
      </c>
      <c r="BP19" s="34">
        <v>50</v>
      </c>
      <c r="BQ19" s="34">
        <v>50</v>
      </c>
      <c r="BR19" s="34">
        <v>50</v>
      </c>
      <c r="BS19" s="34">
        <v>50</v>
      </c>
      <c r="BT19" s="34">
        <v>50</v>
      </c>
      <c r="BU19" s="34">
        <v>50</v>
      </c>
      <c r="BV19" s="34">
        <v>50</v>
      </c>
      <c r="BW19" s="34">
        <v>200</v>
      </c>
      <c r="BX19" s="34">
        <v>100</v>
      </c>
    </row>
    <row r="20" spans="1:89" ht="55" customHeight="1">
      <c r="A20" s="105" t="s">
        <v>162</v>
      </c>
      <c r="B20" s="105">
        <f>IF(AD20&gt;AY20,AY19,AY18)</f>
        <v>100</v>
      </c>
      <c r="C20" s="105">
        <f>IF(AD20&gt;AZ20,AZ19,AZ18)</f>
        <v>300</v>
      </c>
      <c r="D20" s="105">
        <f>IF(AD20&gt;BA20,BA19,BA18)</f>
        <v>100</v>
      </c>
      <c r="E20" s="105"/>
      <c r="F20" s="105">
        <f>IF(AD20&gt;BC20,BC19,BC18)</f>
        <v>100</v>
      </c>
      <c r="G20" s="105"/>
      <c r="H20" s="105"/>
      <c r="I20" s="105"/>
      <c r="J20" s="105">
        <f>IF(AJ20&gt;BG20,BG19,BG18)</f>
        <v>20</v>
      </c>
      <c r="K20" s="105">
        <f>IF(AJ20&gt;BH20,BH19,BH18)</f>
        <v>20</v>
      </c>
      <c r="L20" s="105">
        <f>IF(AJ20&gt;BI20,BI19,BI18)</f>
        <v>20</v>
      </c>
      <c r="M20" s="105">
        <f>IF(AJ20&gt;BJ20,BJ19,BJ18)</f>
        <v>20</v>
      </c>
      <c r="N20" s="19"/>
      <c r="O20" s="19"/>
      <c r="P20" s="19"/>
      <c r="Q20" s="19"/>
      <c r="R20" s="105">
        <f>BO21</f>
        <v>100</v>
      </c>
      <c r="S20" s="105">
        <f t="shared" ref="S20" si="5">BP21</f>
        <v>200</v>
      </c>
      <c r="T20" s="105">
        <f>BQ21</f>
        <v>100</v>
      </c>
      <c r="U20" s="107">
        <v>50</v>
      </c>
      <c r="V20" s="105">
        <f>BS21</f>
        <v>150</v>
      </c>
      <c r="W20" s="107">
        <v>100</v>
      </c>
      <c r="X20" s="107">
        <v>100</v>
      </c>
      <c r="Y20" s="107">
        <v>200</v>
      </c>
      <c r="Z20" s="19"/>
      <c r="AA20" s="19"/>
      <c r="AB20" s="106">
        <f t="shared" ref="AB20:AB21" si="6">SUM(B20:AA20)</f>
        <v>1680</v>
      </c>
      <c r="AC20" s="19">
        <v>95180.04</v>
      </c>
      <c r="AD20" s="19">
        <f>IF(AC20&gt;AY36,AY36,AC20)</f>
        <v>95180.04</v>
      </c>
      <c r="AE20" s="107">
        <f>IF(AD20&lt;AY33,0,IF(AD20&lt;=AY34,AZ34,IF(AD20&lt;=AY35,(AD20-AY34)/100000*AZ35+AZ34,IF(AD20&lt;=AY36,(AD20-AY35)/100000*AZ36+AZ35+AZ34))))</f>
        <v>305.54012</v>
      </c>
      <c r="AF20" s="19">
        <v>3546.1</v>
      </c>
      <c r="AG20" s="19">
        <f>IF(AF20&gt;BD28,BD28,AF20)</f>
        <v>3546.1</v>
      </c>
      <c r="AH20" s="107">
        <f>IF(AG20&lt;BD33,0,IF(AG20&lt;=BD34,BE34,IF(AG20&lt;=BD35,(AG20-BD34)/100000*BE35+BE34,IF(AG20&lt;=BD36,(AG20-BD35)/100000*BE36+BE35+BE34))))</f>
        <v>0</v>
      </c>
      <c r="AI20" s="19">
        <v>56945.58</v>
      </c>
      <c r="AJ20" s="19">
        <f>IF(AI20&gt;BG30,BG30,AI20)</f>
        <v>56945.58</v>
      </c>
      <c r="AK20" s="107">
        <f>IF(AJ20&lt;BG33,0,IF(AJ20&lt;=BG34,BH34,IF(AJ20&lt;=BG35,(AJ20-BG34)/100000*BH35+BH34,IF(AJ20&lt;=BG36,(AJ20-BG35)/100000*BH36+BH35+BH34,IF(AJ20&lt;=BG37,(AJ20-BH37)/100000*BH37+BH36+BH35+BH34)))))</f>
        <v>75.41837000000001</v>
      </c>
      <c r="AL20" s="107">
        <f>AE20+AH20+AK20</f>
        <v>380.95848999999998</v>
      </c>
      <c r="AM20" s="108"/>
      <c r="AN20" s="107"/>
      <c r="AO20" s="108">
        <f>AL20+AN20</f>
        <v>380.95848999999998</v>
      </c>
      <c r="AP20" s="101"/>
      <c r="AQ20" s="101"/>
      <c r="AR20" s="109" t="s">
        <v>163</v>
      </c>
      <c r="AS20" s="109">
        <v>80</v>
      </c>
      <c r="AT20" s="109">
        <v>25</v>
      </c>
      <c r="AU20" s="109">
        <v>3.3</v>
      </c>
      <c r="AV20" s="109">
        <v>108.3</v>
      </c>
      <c r="AW20" s="101"/>
      <c r="AX20" s="103" t="s">
        <v>6</v>
      </c>
      <c r="AY20" s="110">
        <v>20000</v>
      </c>
      <c r="AZ20" s="110">
        <v>20000</v>
      </c>
      <c r="BA20" s="110">
        <v>20000</v>
      </c>
      <c r="BB20" s="110">
        <v>20000</v>
      </c>
      <c r="BC20" s="110">
        <v>20000</v>
      </c>
      <c r="BD20" s="110">
        <v>30000</v>
      </c>
      <c r="BE20" s="110">
        <v>30000</v>
      </c>
      <c r="BF20" s="111"/>
      <c r="BG20" s="110">
        <v>80000</v>
      </c>
      <c r="BH20" s="110">
        <v>80000</v>
      </c>
      <c r="BI20" s="110">
        <v>80000</v>
      </c>
      <c r="BJ20" s="110">
        <v>80000</v>
      </c>
      <c r="BK20" s="34"/>
      <c r="BL20" s="34"/>
      <c r="BM20" s="34"/>
      <c r="BN20" s="34"/>
      <c r="BO20" s="212" t="s">
        <v>164</v>
      </c>
      <c r="BP20" s="173"/>
      <c r="BQ20" s="173"/>
      <c r="BR20" s="173"/>
      <c r="BS20" s="174"/>
      <c r="BT20" s="111"/>
      <c r="BU20" s="111"/>
      <c r="BV20" s="111"/>
      <c r="BW20" s="34"/>
      <c r="BX20" s="34"/>
    </row>
    <row r="21" spans="1:89" ht="55" customHeight="1">
      <c r="A21" s="105" t="s">
        <v>165</v>
      </c>
      <c r="B21" s="105"/>
      <c r="C21" s="105">
        <f>IF(AD21&gt;AZ20,AZ19,AZ18)</f>
        <v>300</v>
      </c>
      <c r="D21" s="105"/>
      <c r="E21" s="105">
        <f>IF(AD21&gt;BB20,BB19,BB18)</f>
        <v>200</v>
      </c>
      <c r="F21" s="105"/>
      <c r="G21" s="105"/>
      <c r="H21" s="105"/>
      <c r="I21" s="105"/>
      <c r="J21" s="105">
        <f>IF(AJ21&gt;BG20,BG19,BG18)</f>
        <v>20</v>
      </c>
      <c r="K21" s="105">
        <f>IF(AJ21&gt;BH20,BH19,BH18)</f>
        <v>20</v>
      </c>
      <c r="L21" s="105">
        <f>IF(AJ21&gt;BI20,BI19,BI18)</f>
        <v>20</v>
      </c>
      <c r="M21" s="105"/>
      <c r="N21" s="19"/>
      <c r="O21" s="19"/>
      <c r="P21" s="19"/>
      <c r="Q21" s="19"/>
      <c r="R21" s="105">
        <f>BO21</f>
        <v>100</v>
      </c>
      <c r="S21" s="105">
        <f t="shared" ref="S21:V21" si="7">BP21</f>
        <v>200</v>
      </c>
      <c r="T21" s="105">
        <f t="shared" si="7"/>
        <v>100</v>
      </c>
      <c r="U21" s="105"/>
      <c r="V21" s="105">
        <f t="shared" si="7"/>
        <v>150</v>
      </c>
      <c r="W21" s="107">
        <v>50</v>
      </c>
      <c r="X21" s="107">
        <v>50</v>
      </c>
      <c r="Y21" s="107">
        <v>100</v>
      </c>
      <c r="Z21" s="19"/>
      <c r="AA21" s="19"/>
      <c r="AB21" s="106">
        <f t="shared" si="6"/>
        <v>1310</v>
      </c>
      <c r="AC21" s="19">
        <v>58328</v>
      </c>
      <c r="AD21" s="19">
        <f>IF(AC21&gt;AY36,AY36,AC21)</f>
        <v>58328</v>
      </c>
      <c r="AE21" s="107">
        <f>IF(AD21&lt;AY33,0,IF(AD21&lt;=AY34,AZ34,IF(AD21&lt;=AY35,(AD21-AY34)/100000*AZ35+AZ34,IF(AD21&lt;=AY36,(AD21-AY35)/100000*AZ36+AZ35+AZ34))))</f>
        <v>194.98400000000001</v>
      </c>
      <c r="AF21" s="19">
        <v>4620</v>
      </c>
      <c r="AG21" s="19">
        <f>IF(AF21&gt;BD28,BD28,AF21)</f>
        <v>4620</v>
      </c>
      <c r="AH21" s="107">
        <f>IF(AG21&lt;BD33,0,IF(AG21&lt;=BD34,BE34,IF(AG21&lt;=BD35,(AG21-BD34)/100000*BE35+BE34,IF(AG21&lt;=BD36,(AG21-BD35)/100000*BE36+BE35+BE34))))</f>
        <v>0</v>
      </c>
      <c r="AI21" s="19">
        <v>27720.720000000001</v>
      </c>
      <c r="AJ21" s="19">
        <f>IF(AI104&gt;BG30,BG30,AI21)</f>
        <v>27720.720000000001</v>
      </c>
      <c r="AK21" s="107">
        <f>IF(AJ21&lt;BG33,0,IF(AJ21&lt;=BG34,BH34,IF(AJ21&lt;=BG35,(AJ21-BG34)/100000*BH35+BH34,IF(AJ21&lt;=BG36,(AJ21-BG35)/100000*BH36+BH35+BH34,IF(AJ21&lt;=BG37,(AJ21-BH37)/100000*BH37+BH36+BH35+BH34)))))</f>
        <v>50</v>
      </c>
      <c r="AL21" s="107">
        <f>AE21+AH21+AK21</f>
        <v>244.98400000000001</v>
      </c>
      <c r="AM21" s="108"/>
      <c r="AN21" s="107"/>
      <c r="AO21" s="108">
        <f>AL21+AN21</f>
        <v>244.98400000000001</v>
      </c>
      <c r="AP21" s="101"/>
      <c r="AQ21" s="101"/>
      <c r="AR21" s="109" t="s">
        <v>166</v>
      </c>
      <c r="AS21" s="109">
        <v>80</v>
      </c>
      <c r="AT21" s="109">
        <v>13</v>
      </c>
      <c r="AU21" s="109"/>
      <c r="AV21" s="109">
        <v>93</v>
      </c>
      <c r="AW21" s="101"/>
      <c r="AX21" s="103" t="s">
        <v>7</v>
      </c>
      <c r="AY21" s="34"/>
      <c r="AZ21" s="34"/>
      <c r="BA21" s="34"/>
      <c r="BB21" s="34" t="s">
        <v>167</v>
      </c>
      <c r="BC21" s="34">
        <v>200</v>
      </c>
      <c r="BD21" s="34"/>
      <c r="BE21" s="34"/>
      <c r="BF21" s="34">
        <v>500</v>
      </c>
      <c r="BG21" s="34"/>
      <c r="BH21" s="34"/>
      <c r="BI21" s="34"/>
      <c r="BJ21" s="34"/>
      <c r="BK21" s="34">
        <v>500</v>
      </c>
      <c r="BL21" s="34"/>
      <c r="BM21" s="34"/>
      <c r="BN21" s="34"/>
      <c r="BO21" s="34">
        <v>100</v>
      </c>
      <c r="BP21" s="34">
        <v>200</v>
      </c>
      <c r="BQ21" s="34">
        <v>100</v>
      </c>
      <c r="BR21" s="34">
        <v>200</v>
      </c>
      <c r="BS21" s="34">
        <v>150</v>
      </c>
      <c r="BT21" s="34">
        <v>200</v>
      </c>
      <c r="BU21" s="34">
        <v>200</v>
      </c>
      <c r="BV21" s="34">
        <v>400</v>
      </c>
      <c r="BW21" s="34"/>
      <c r="BX21" s="34"/>
    </row>
    <row r="22" spans="1:89" ht="55" customHeight="1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9"/>
      <c r="O22" s="19"/>
      <c r="P22" s="19"/>
      <c r="Q22" s="19"/>
      <c r="R22" s="105"/>
      <c r="S22" s="105"/>
      <c r="T22" s="105"/>
      <c r="U22" s="19"/>
      <c r="V22" s="19"/>
      <c r="W22" s="19"/>
      <c r="X22" s="19"/>
      <c r="Y22" s="19"/>
      <c r="Z22" s="19"/>
      <c r="AA22" s="19"/>
      <c r="AB22" s="106"/>
      <c r="AC22" s="19"/>
      <c r="AD22" s="19"/>
      <c r="AE22" s="107"/>
      <c r="AF22" s="19"/>
      <c r="AG22" s="19"/>
      <c r="AH22" s="107"/>
      <c r="AI22" s="19"/>
      <c r="AJ22" s="19"/>
      <c r="AK22" s="107"/>
      <c r="AL22" s="107"/>
      <c r="AM22" s="105"/>
      <c r="AN22" s="107"/>
      <c r="AO22" s="108"/>
      <c r="AP22" s="101"/>
      <c r="AQ22" s="101"/>
      <c r="AR22" s="109" t="s">
        <v>168</v>
      </c>
      <c r="AS22" s="109">
        <v>80</v>
      </c>
      <c r="AT22" s="109">
        <v>9.5</v>
      </c>
      <c r="AU22" s="109">
        <v>3.3</v>
      </c>
      <c r="AV22" s="109">
        <v>92.8</v>
      </c>
      <c r="AW22" s="101"/>
      <c r="AX22" s="113" t="s">
        <v>169</v>
      </c>
      <c r="AY22" s="110">
        <v>10000</v>
      </c>
      <c r="AZ22" s="112">
        <v>0</v>
      </c>
      <c r="BA22" s="112"/>
      <c r="BB22" s="112"/>
      <c r="BC22" s="34"/>
      <c r="BD22" s="110">
        <v>10000</v>
      </c>
      <c r="BE22" s="112">
        <v>0</v>
      </c>
      <c r="BG22" s="34">
        <v>50000</v>
      </c>
      <c r="BH22" s="34">
        <v>0</v>
      </c>
      <c r="BI22" s="114"/>
      <c r="BJ22" s="115"/>
    </row>
    <row r="23" spans="1:89" ht="55" customHeight="1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9"/>
      <c r="O23" s="19"/>
      <c r="P23" s="19"/>
      <c r="Q23" s="19"/>
      <c r="R23" s="105"/>
      <c r="S23" s="105"/>
      <c r="T23" s="105"/>
      <c r="U23" s="19"/>
      <c r="V23" s="19"/>
      <c r="W23" s="19"/>
      <c r="X23" s="19"/>
      <c r="Y23" s="19"/>
      <c r="Z23" s="19"/>
      <c r="AA23" s="19"/>
      <c r="AB23" s="106"/>
      <c r="AC23" s="19">
        <v>0</v>
      </c>
      <c r="AD23" s="19"/>
      <c r="AE23" s="107"/>
      <c r="AF23" s="19">
        <v>0</v>
      </c>
      <c r="AG23" s="19"/>
      <c r="AH23" s="107"/>
      <c r="AI23" s="19">
        <v>0</v>
      </c>
      <c r="AJ23" s="19"/>
      <c r="AK23" s="107"/>
      <c r="AL23" s="107"/>
      <c r="AM23" s="105"/>
      <c r="AN23" s="107"/>
      <c r="AO23" s="108"/>
      <c r="AP23" s="101"/>
      <c r="AQ23" s="101"/>
      <c r="AR23" s="109" t="s">
        <v>170</v>
      </c>
      <c r="AS23" s="109">
        <v>80</v>
      </c>
      <c r="AT23" s="109">
        <v>12.5</v>
      </c>
      <c r="AU23" s="109"/>
      <c r="AV23" s="109">
        <v>92.5</v>
      </c>
      <c r="AW23" s="101"/>
      <c r="AX23" s="113"/>
      <c r="AY23" s="110">
        <v>20000</v>
      </c>
      <c r="AZ23" s="112">
        <v>50</v>
      </c>
      <c r="BA23" s="112"/>
      <c r="BB23" s="112"/>
      <c r="BC23" s="34"/>
      <c r="BD23" s="110">
        <v>30000</v>
      </c>
      <c r="BE23" s="112">
        <v>50</v>
      </c>
      <c r="BG23" s="34">
        <v>80000</v>
      </c>
      <c r="BH23" s="34">
        <v>50</v>
      </c>
      <c r="BI23" s="114"/>
      <c r="BJ23" s="115"/>
    </row>
    <row r="24" spans="1:89" ht="55" customHeight="1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9"/>
      <c r="O24" s="19"/>
      <c r="P24" s="19"/>
      <c r="Q24" s="19"/>
      <c r="R24" s="105"/>
      <c r="S24" s="105"/>
      <c r="T24" s="105"/>
      <c r="U24" s="19"/>
      <c r="V24" s="19"/>
      <c r="W24" s="19"/>
      <c r="X24" s="19"/>
      <c r="Y24" s="19"/>
      <c r="Z24" s="19"/>
      <c r="AA24" s="19"/>
      <c r="AB24" s="106"/>
      <c r="AC24" s="19"/>
      <c r="AD24" s="19"/>
      <c r="AE24" s="107"/>
      <c r="AF24" s="19"/>
      <c r="AG24" s="19"/>
      <c r="AH24" s="107"/>
      <c r="AI24" s="19"/>
      <c r="AJ24" s="19"/>
      <c r="AK24" s="107"/>
      <c r="AL24" s="107"/>
      <c r="AM24" s="105"/>
      <c r="AN24" s="107"/>
      <c r="AO24" s="108"/>
      <c r="AP24" s="101"/>
      <c r="AQ24" s="101"/>
      <c r="AR24" s="109" t="s">
        <v>171</v>
      </c>
      <c r="AS24" s="109">
        <v>80</v>
      </c>
      <c r="AT24" s="109">
        <v>12</v>
      </c>
      <c r="AU24" s="109"/>
      <c r="AV24" s="109">
        <v>92</v>
      </c>
      <c r="AW24" s="101"/>
      <c r="AX24" s="113" t="s">
        <v>172</v>
      </c>
      <c r="AY24" s="34">
        <v>120000</v>
      </c>
      <c r="AZ24" s="116">
        <v>300</v>
      </c>
      <c r="BA24" s="113"/>
      <c r="BB24" s="113"/>
      <c r="BC24" s="34"/>
      <c r="BD24" s="34">
        <v>130000</v>
      </c>
      <c r="BE24" s="117">
        <v>300</v>
      </c>
      <c r="BG24" s="34">
        <v>180000</v>
      </c>
      <c r="BH24" s="118">
        <v>150</v>
      </c>
      <c r="BI24" s="119"/>
      <c r="BJ24" s="120"/>
      <c r="CE24" s="19"/>
      <c r="CF24" s="213" t="s">
        <v>57</v>
      </c>
      <c r="CG24" s="213"/>
      <c r="CH24" s="213" t="s">
        <v>58</v>
      </c>
      <c r="CI24" s="213"/>
      <c r="CJ24" s="213" t="s">
        <v>59</v>
      </c>
      <c r="CK24" s="213"/>
    </row>
    <row r="25" spans="1:89" ht="55" customHeight="1">
      <c r="A25" s="105" t="s">
        <v>173</v>
      </c>
      <c r="B25" s="105">
        <f>IF(AD25&gt;AY20,AY19,AY18)</f>
        <v>100</v>
      </c>
      <c r="C25" s="105">
        <f>IF(AD25&gt;AZ20,AZ19,AZ18)</f>
        <v>300</v>
      </c>
      <c r="D25" s="105">
        <f>IF(AD25&gt;BA20,BA19,BA18)</f>
        <v>100</v>
      </c>
      <c r="E25" s="105">
        <f>IF(AD25&gt;BB20,BB19,BB18)</f>
        <v>200</v>
      </c>
      <c r="F25" s="105">
        <f>IF(AD25&gt;BC20,BC19,BC18)</f>
        <v>100</v>
      </c>
      <c r="G25" s="105">
        <f>IF(AG25&gt;BD20,BD19,BD18)</f>
        <v>300</v>
      </c>
      <c r="H25" s="105">
        <f>IF(AG25&gt;BE20,BE19,BE18)</f>
        <v>200</v>
      </c>
      <c r="I25" s="105"/>
      <c r="J25" s="105">
        <f>IF(AJ25&gt;BG20,BG19,BG18)</f>
        <v>50</v>
      </c>
      <c r="K25" s="105">
        <f>IF(AJ25&gt;BH20,BH19,BH18)</f>
        <v>50</v>
      </c>
      <c r="L25" s="105">
        <f>IF(AJ25&gt;BI20,BI19,BI18)</f>
        <v>50</v>
      </c>
      <c r="M25" s="105">
        <f>IF(AJ25&gt;BJ20,BJ19,BJ18)</f>
        <v>200</v>
      </c>
      <c r="N25" s="105"/>
      <c r="O25" s="105">
        <f>BL19</f>
        <v>50</v>
      </c>
      <c r="P25" s="105">
        <f>BM19</f>
        <v>50</v>
      </c>
      <c r="Q25" s="105">
        <f>BN19</f>
        <v>50</v>
      </c>
      <c r="R25" s="121">
        <f>BO18</f>
        <v>20</v>
      </c>
      <c r="S25" s="121">
        <f>BP18</f>
        <v>20</v>
      </c>
      <c r="T25" s="105">
        <f>BQ19</f>
        <v>50</v>
      </c>
      <c r="U25" s="105">
        <f>BR19</f>
        <v>50</v>
      </c>
      <c r="V25" s="105">
        <f>BS19</f>
        <v>50</v>
      </c>
      <c r="W25" s="105"/>
      <c r="X25" s="105"/>
      <c r="Y25" s="105"/>
      <c r="Z25" s="105">
        <f>BW19</f>
        <v>200</v>
      </c>
      <c r="AA25" s="105"/>
      <c r="AB25" s="106">
        <f t="shared" ref="AB25:AB34" si="8">SUM(B25:AA25)</f>
        <v>2190</v>
      </c>
      <c r="AC25" s="19">
        <v>290075.90999999997</v>
      </c>
      <c r="AD25" s="19">
        <f>IF(AC25&gt;AY28,AY28,AC25)</f>
        <v>290075.90999999997</v>
      </c>
      <c r="AE25" s="107">
        <f>IF(AD25&lt;AY22,0,IF(AD25&lt;=AY23,AZ23,IF(AD25&lt;=AY24,(AD25-AY23)/100000*AZ24+AZ23,IF(AD25&lt;=AY25,(AD25-AY24)/100000*AZ25+AZ24+AZ23,IF(AD25&lt;=AY26,(AD25-AY25)/100000*AZ26+AZ25+AZ24+AZ23,IF(AD25&lt;=AY27,(AD25-AY26)/100000*AZ27+AZ26+AZ25+AZ24+AZ23,IF(AD25&lt;=AY28,(AD25-AY27)/80000*AZ28+AZ27+AZ26+AZ25+AZ24+AZ23)))))))</f>
        <v>1270.4554599999999</v>
      </c>
      <c r="AF25" s="19">
        <v>38828</v>
      </c>
      <c r="AG25" s="19">
        <f>IF(AF25&gt;BD28,BD28,AF25)</f>
        <v>38828</v>
      </c>
      <c r="AH25" s="107">
        <f>IF(AG25&lt;BD22,0,IF(AG25&lt;=BD23,BE23,IF(AG25&lt;=BD24,(AG25-BD23)/100000*BE24+BE23,IF(AG25&lt;=BD25,(AG25-BD24)/100000*BE25+BE24+BE23,IF(AG25&lt;=BD26,(AG25-BD25)/100000*BE26+BE25+BE24+BE23,IF(AG25&lt;=BD27,(AG25-BD26)/100000*BE27+BE26+BE25+BE24+BE23,IF(AG25&lt;=BD28,(AG25-BD27)/70000*BE28+BE27+BE26+BE25+BE24+BE23)))))))</f>
        <v>76.483999999999995</v>
      </c>
      <c r="AI25" s="19">
        <v>175639.7</v>
      </c>
      <c r="AJ25" s="19">
        <f>IF(AI25&gt;BG30,BG30,AI25)</f>
        <v>175639.7</v>
      </c>
      <c r="AK25" s="107">
        <f>IF(AJ25&lt;BG22,0,IF(AJ25&lt;=BG23,BH23,IF(AJ25&lt;=BG24,(AJ25-BG23)/100000*BH24+BH23,IF(AJ25&lt;=BG25,(AJ25-BG24)/100000*BH25+BH24+BH23,IF(AJ25&lt;=BG26,(AJ25-BG25)/100000*BH26+BH25+BH24+BH23,IF(AJ25&lt;=BG27,(AJ25-BG26)/100000*BH27+BH26+BH25+BH24+BH23,IF(AJ25&lt;=BG28,(AJ25-BG27)/100000*BH28+BH27+BH26+BH25+BH24+BH23,IF(AJ25&lt;=BG29,(AJ25-BG28)/100000*BH29+BH28+BH27+BH26+BH25+BH24+BH23,IF(AJ25&lt;=BG30,(AJ25-BG29)/100000*BH30+BH29+BH28+BH27+BH26+BH25+BH24+BH23)))))))))</f>
        <v>193.45955000000004</v>
      </c>
      <c r="AL25" s="107">
        <f>AE25+AH25+AK25</f>
        <v>1540.3990099999999</v>
      </c>
      <c r="AM25" s="108"/>
      <c r="AN25" s="108"/>
      <c r="AO25" s="108">
        <f>AL25+AN25+AM25</f>
        <v>1540.3990099999999</v>
      </c>
      <c r="AP25" s="101"/>
      <c r="AQ25" s="101"/>
      <c r="AR25" s="109" t="s">
        <v>174</v>
      </c>
      <c r="AS25" s="109">
        <v>80</v>
      </c>
      <c r="AT25" s="109">
        <v>7</v>
      </c>
      <c r="AU25" s="109">
        <v>3.3</v>
      </c>
      <c r="AV25" s="109">
        <v>90.3</v>
      </c>
      <c r="AW25" s="101"/>
      <c r="AX25" s="113" t="s">
        <v>9</v>
      </c>
      <c r="AY25" s="34">
        <v>220000</v>
      </c>
      <c r="AZ25" s="117">
        <v>500</v>
      </c>
      <c r="BA25" s="18"/>
      <c r="BB25" s="18"/>
      <c r="BC25" s="34"/>
      <c r="BD25" s="34">
        <v>230000</v>
      </c>
      <c r="BE25" s="117">
        <v>500</v>
      </c>
      <c r="BG25" s="34">
        <v>280000</v>
      </c>
      <c r="BH25" s="122">
        <v>200</v>
      </c>
      <c r="BI25" s="123"/>
      <c r="BJ25" s="124"/>
      <c r="CE25" s="19"/>
      <c r="CF25" s="19" t="s">
        <v>175</v>
      </c>
      <c r="CG25" s="19" t="s">
        <v>176</v>
      </c>
      <c r="CH25" s="19" t="s">
        <v>175</v>
      </c>
      <c r="CI25" s="19" t="s">
        <v>176</v>
      </c>
      <c r="CJ25" s="19" t="s">
        <v>175</v>
      </c>
      <c r="CK25" s="19" t="s">
        <v>176</v>
      </c>
    </row>
    <row r="26" spans="1:89" ht="55" customHeight="1">
      <c r="A26" s="105" t="s">
        <v>46</v>
      </c>
      <c r="B26" s="105"/>
      <c r="C26" s="105">
        <f>IF(AD26&gt;AZ20,AZ19,AZ18)</f>
        <v>20</v>
      </c>
      <c r="D26" s="105">
        <f>IF(AD26&gt;BA21,BA19,BA18)</f>
        <v>100</v>
      </c>
      <c r="E26" s="105">
        <v>20</v>
      </c>
      <c r="F26" s="105">
        <v>100</v>
      </c>
      <c r="G26" s="105">
        <f>IF(AG26&gt;BD20,BD19,BD18)</f>
        <v>300</v>
      </c>
      <c r="H26" s="105">
        <f>IF(AG26&gt;BE20,BE19,BE18)</f>
        <v>200</v>
      </c>
      <c r="I26" s="105"/>
      <c r="J26" s="105">
        <f>IF(AJ26&gt;BG20,BG19,BG18)</f>
        <v>50</v>
      </c>
      <c r="K26" s="105">
        <f>IF(AJ26&gt;BH20,BH19,BH18)</f>
        <v>50</v>
      </c>
      <c r="L26" s="105">
        <f>IF(AJ26&gt;BI20,BI19,BI18)</f>
        <v>50</v>
      </c>
      <c r="M26" s="105">
        <f>IF(AJ26&gt;BJ20,BJ19,BJ18)</f>
        <v>200</v>
      </c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6">
        <f t="shared" si="8"/>
        <v>1090</v>
      </c>
      <c r="AC26" s="19">
        <v>14005</v>
      </c>
      <c r="AD26" s="19">
        <f>IF(AC26&gt;AY28,AY28,AC26)</f>
        <v>14005</v>
      </c>
      <c r="AE26" s="107">
        <f>IF(AD26&lt;AY22,0,IF(AD26&lt;=AY23,AZ23,IF(AD26&lt;=AY24,(AD26-AY23)/100000*AZ24+AZ23,IF(AD26&lt;=AY25,(AD26-AY24)/100000*AZ25+AZ24+AZ23,IF(AD26&lt;=AY26,(AD26-AY25)/100000*AZ26+AZ25+AZ24+AZ23,IF(AD26&lt;=AY27,(AD26-AY26)/100000*AZ27+AZ26+AZ25+AZ24+AZ23,IF(AD26&lt;=AY28,(AD26-AY27)/80000*AZ28+AZ27+AZ26+AZ25+AZ24+AZ23)))))))</f>
        <v>50</v>
      </c>
      <c r="AF26" s="19">
        <v>67140.13</v>
      </c>
      <c r="AG26" s="19">
        <f>IF(AF26&gt;BD28,BD28,AF26)</f>
        <v>67140.13</v>
      </c>
      <c r="AH26" s="107">
        <f>IF(AG26&lt;BD22,0,IF(AG26&lt;=BD23,BE23,IF(AG26&lt;=BD24,(AG26-BD23)/100000*BE24+BE23,IF(AG26&lt;=BD25,(AG26-BD24)/100000*BE25+BE24+BE23,IF(AG26&lt;=BD26,(AG26-BD25)/100000*BE26+BE25+BE24+BE23,IF(AG26&lt;=BD27,(AG26-BD26)/100000*BE27+BE26+BE25+BE24+BE23,IF(AG26&lt;=BD28,(AG26-BD27)/70000*BE28+BE27+BE26+BE25+BE24+BE23)))))))</f>
        <v>161.42039</v>
      </c>
      <c r="AI26" s="19">
        <v>370929.62</v>
      </c>
      <c r="AJ26" s="19">
        <f>IF(AI26&gt;BG30,BG30,AI26)</f>
        <v>370929.62</v>
      </c>
      <c r="AK26" s="107">
        <f>IF(AJ26&lt;BG22,0,IF(AJ26&lt;=BG23,BH23,IF(AJ26&lt;=BG24,(AJ26-BG23)/100000*BH24+BH23,IF(AJ26&lt;=BG25,(AJ26-BG24)/100000*BH25+BH24+BH23,IF(AJ26&lt;=BG26,(AJ26-BG25)/100000*BH26+BH25+BH24+BH23,IF(AJ26&lt;=BG27,(AJ26-BG26)/100000*BH27+BH26+BH25+BH24+BH23,IF(AJ26&lt;=BG28,(AJ26-BG27)/100000*BH28+BH27+BH26+BH25+BH24+BH23,IF(AJ26&lt;=BG29,(AJ26-BG28)/100000*BH29+BH28+BH27+BH26+BH25+BH24+BH23,IF(AJ26&lt;=BG30,(AJ26-BG29)/100000*BH30+BH29+BH28+BH27+BH26+BH25+BH24+BH23)))))))))</f>
        <v>581.85924</v>
      </c>
      <c r="AL26" s="125">
        <f t="shared" ref="AL26:AL27" si="9">AE26+AH26+AK26</f>
        <v>793.27963</v>
      </c>
      <c r="AM26" s="108">
        <f>-AL26*0.2</f>
        <v>-158.65592600000002</v>
      </c>
      <c r="AN26" s="126"/>
      <c r="AO26" s="108">
        <f>AL26+AN26+AM26</f>
        <v>634.62370399999998</v>
      </c>
      <c r="AP26" s="101"/>
      <c r="AQ26" s="101"/>
      <c r="AR26" s="109" t="s">
        <v>177</v>
      </c>
      <c r="AS26" s="109">
        <v>80</v>
      </c>
      <c r="AT26" s="109">
        <v>0.5</v>
      </c>
      <c r="AU26" s="109">
        <v>3.3</v>
      </c>
      <c r="AV26" s="109">
        <v>83.8</v>
      </c>
      <c r="AW26" s="101"/>
      <c r="AX26" s="113" t="s">
        <v>10</v>
      </c>
      <c r="AY26" s="34">
        <v>320000</v>
      </c>
      <c r="AZ26" s="117">
        <v>600</v>
      </c>
      <c r="BA26" s="18"/>
      <c r="BB26" s="18"/>
      <c r="BC26" s="34"/>
      <c r="BD26" s="34">
        <v>330000</v>
      </c>
      <c r="BE26" s="117">
        <v>400</v>
      </c>
      <c r="BG26" s="34">
        <v>380000</v>
      </c>
      <c r="BH26" s="122">
        <v>200</v>
      </c>
      <c r="BI26" s="123"/>
      <c r="BJ26" s="124"/>
      <c r="CE26" s="18" t="s">
        <v>169</v>
      </c>
      <c r="CF26" s="34">
        <v>20000</v>
      </c>
      <c r="CG26" s="34">
        <v>50</v>
      </c>
      <c r="CH26" s="34">
        <v>30000</v>
      </c>
      <c r="CI26" s="34">
        <v>50</v>
      </c>
      <c r="CJ26" s="34">
        <v>80000</v>
      </c>
      <c r="CK26" s="34">
        <v>50</v>
      </c>
    </row>
    <row r="27" spans="1:89" ht="55" customHeight="1">
      <c r="A27" s="105" t="s">
        <v>178</v>
      </c>
      <c r="B27" s="105"/>
      <c r="C27" s="105"/>
      <c r="D27" s="105"/>
      <c r="E27" s="105"/>
      <c r="F27" s="105"/>
      <c r="G27" s="105">
        <f>IF(AG27&gt;BD20,BD19,BD18)</f>
        <v>300</v>
      </c>
      <c r="H27" s="105">
        <f>IF(AG27&gt;BE20,BE19,BE18)</f>
        <v>200</v>
      </c>
      <c r="I27" s="105"/>
      <c r="J27" s="105">
        <f>IF(AJ27&gt;BG20,BG19,BG18)</f>
        <v>50</v>
      </c>
      <c r="K27" s="105">
        <f>IF(AJ27&gt;BH20,BH19,BH18)</f>
        <v>50</v>
      </c>
      <c r="L27" s="105">
        <f>IF(AJ27&gt;BI20,BI19,BI18)</f>
        <v>50</v>
      </c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6">
        <f t="shared" si="8"/>
        <v>650</v>
      </c>
      <c r="AC27" s="19">
        <v>0</v>
      </c>
      <c r="AD27" s="19">
        <f>IF(AC27&gt;AY28,AY28,AC27)</f>
        <v>0</v>
      </c>
      <c r="AE27" s="107">
        <f>IF(AD27&lt;AY22,0,IF(AD27&lt;=AY23,AZ23,IF(AD27&lt;=AY24,(AD27-AY23)/100000*AZ24+AZ23,IF(AD27&lt;=AY25,(AD27-AY24)/100000*AZ25+AZ24+AZ23,IF(AD27&lt;=AY26,(AD27-AY25)/100000*AZ26+AZ25+AZ24+AZ23,IF(AD27&lt;=AY27,(AD27-AY26)/100000*AZ27+AZ26+AZ25+AZ24+AZ23,IF(AD27&lt;=AY28,(AD27-AY27)/80000*AZ28+AZ27+AZ26+AZ25+AZ24+AZ23)))))))</f>
        <v>0</v>
      </c>
      <c r="AF27" s="19">
        <v>342738.25</v>
      </c>
      <c r="AG27" s="19">
        <f>IF(AF27&gt;BD28,BD28,AF27)</f>
        <v>342738.25</v>
      </c>
      <c r="AH27" s="107">
        <f>IF(AG27&lt;BD22,0,IF(AG27&lt;=BD23,BE23,IF(AG27&lt;=BD24,(AG27-BD23)/100000*BE24+BE23,IF(AG27&lt;=BD25,(AG27-BD24)/100000*BE25+BE24+BE23,IF(AG27&lt;=BD26,(AG27-BD25)/100000*BE26+BE25+BE24+BE23,IF(AG27&lt;=BD27,(AG27-BD26)/100000*BE27+BE26+BE25+BE24+BE23,IF(AG27&lt;=BD28,(AG27-BD27)/70000*BE28+BE27+BE26+BE25+BE24+BE23)))))))</f>
        <v>1288.2147500000001</v>
      </c>
      <c r="AI27" s="19">
        <v>263527.87</v>
      </c>
      <c r="AJ27" s="19">
        <f>IF(AI27&gt;BG30,BG30,AI27)</f>
        <v>263527.87</v>
      </c>
      <c r="AK27" s="107">
        <f>IF(AJ27&lt;BG22,0,IF(AJ27&lt;=BG23,BH23,IF(AJ27&lt;=BG24,(AJ26-BG23)/100000*BH24+BH23,IF(AJ27&lt;=BG25,(AJ27-BG24)/100000*BH25+BH24+BH23,IF(AJ27&lt;=BG26,(AJ27-BG25)/100000*BH26+BH25+BH24+BH23,IF(AJ27&lt;=BG27,(AJ27-BG26)/100000*BH27+BH26+BH25+BH24+BH23,IF(AJ27&lt;=BG28,(AJ27-BG27)/100000*BH28+BH27+BH26+BH25+BH24+BH23,IF(AJ27&lt;=BG29,(AJ27-BG28)/100000*BH29+BH28+BH27+BH26+BH25+BH24+BH23,IF(AJ27&lt;=BG30,(AJ27-BG29)/100000*BH30+BH29+BH28+BH27+BH26+BH25+BH24+BH23)))))))))</f>
        <v>367.05574000000001</v>
      </c>
      <c r="AL27" s="125">
        <f t="shared" si="9"/>
        <v>1655.2704900000001</v>
      </c>
      <c r="AM27" s="108"/>
      <c r="AN27" s="126"/>
      <c r="AO27" s="108">
        <f t="shared" ref="AO27:AO34" si="10">AL27+AN27+AM27</f>
        <v>1655.2704900000001</v>
      </c>
      <c r="AP27" s="101"/>
      <c r="AQ27" s="101"/>
      <c r="AR27" s="109" t="s">
        <v>173</v>
      </c>
      <c r="AS27" s="109">
        <v>80</v>
      </c>
      <c r="AT27" s="109">
        <v>3.5</v>
      </c>
      <c r="AU27" s="109"/>
      <c r="AV27" s="109">
        <v>83.5</v>
      </c>
      <c r="AW27" s="101"/>
      <c r="AX27" s="113" t="s">
        <v>11</v>
      </c>
      <c r="AY27" s="34">
        <v>420000</v>
      </c>
      <c r="AZ27" s="117">
        <v>400</v>
      </c>
      <c r="BA27" s="18"/>
      <c r="BB27" s="18"/>
      <c r="BC27" s="34"/>
      <c r="BD27" s="34">
        <v>430000</v>
      </c>
      <c r="BE27" s="117">
        <v>300</v>
      </c>
      <c r="BG27" s="34">
        <v>480000</v>
      </c>
      <c r="BH27" s="122">
        <v>200</v>
      </c>
      <c r="BI27" s="123"/>
      <c r="BJ27" s="124"/>
      <c r="CE27" s="18" t="s">
        <v>172</v>
      </c>
      <c r="CF27" s="34">
        <v>120000</v>
      </c>
      <c r="CG27" s="117">
        <v>300</v>
      </c>
      <c r="CH27" s="34">
        <v>130000</v>
      </c>
      <c r="CI27" s="117">
        <v>300</v>
      </c>
      <c r="CJ27" s="34">
        <v>180000</v>
      </c>
      <c r="CK27" s="117">
        <v>150</v>
      </c>
    </row>
    <row r="28" spans="1:89" ht="55" customHeight="1">
      <c r="A28" s="105" t="s">
        <v>179</v>
      </c>
      <c r="B28" s="105"/>
      <c r="C28" s="105"/>
      <c r="D28" s="105"/>
      <c r="E28" s="105"/>
      <c r="F28" s="105"/>
      <c r="G28" s="105"/>
      <c r="H28" s="105"/>
      <c r="I28" s="105"/>
      <c r="J28" s="105">
        <f>IF(AJ28&gt;BG20,BG19,BG18)</f>
        <v>50</v>
      </c>
      <c r="K28" s="105">
        <f>IF(AJ28&gt;BH20,BH19,BH18)</f>
        <v>50</v>
      </c>
      <c r="L28" s="105">
        <f>IF(AJ28&gt;BI20,BI19,BI18)</f>
        <v>50</v>
      </c>
      <c r="M28" s="105">
        <f>IF(AJ28&gt;BJ20,BJ19,BJ18)</f>
        <v>200</v>
      </c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6">
        <f t="shared" si="8"/>
        <v>350</v>
      </c>
      <c r="AC28" s="19">
        <v>0</v>
      </c>
      <c r="AD28" s="19">
        <f>IF(AC28&gt;AY28,AY28,AC28)</f>
        <v>0</v>
      </c>
      <c r="AE28" s="107">
        <f>IF(AD28&lt;AY22,0,IF(AD28&lt;=AY23,AZ23,IF(AD28&lt;=AY24,(AD28-AY23)/100000*AZ24+AZ23,IF(AD28&lt;=AY25,(AD28-AY24)/100000*AZ25+AZ24+AZ23,IF(AD28&lt;=AY26,(AD28-AY25)/100000*AZ26+AZ25+AZ24+AZ23,IF(AD28&lt;=AY27,(AD28-AY26)/100000*AZ27+AZ26+AZ25+AZ24+AZ23,IF(AD28&lt;=AY28,(AD28-AY27)/80000*AZ28+AZ27+AZ26+AZ25+AZ24+AZ23)))))))</f>
        <v>0</v>
      </c>
      <c r="AF28" s="19">
        <v>88038.38</v>
      </c>
      <c r="AG28" s="19">
        <f>IF(AF28&gt;BD28,BD28,AF28)</f>
        <v>88038.38</v>
      </c>
      <c r="AH28" s="107">
        <f>IF(AG28&lt;BD22,0,IF(AG28&lt;=BD23,BE23,IF(AG28&lt;=BD24,(AG28-BD23)/100000*BE24+BE23,IF(AG28&lt;=BD25,(AG28-BD24)/100000*BE25+BE24+BE23,IF(AG28&lt;=BD26,(AG28-BD25)/100000*BE26+BE25+BE24+BE23,IF(AG28&lt;=BD27,(AG28-BD26)/100000*BE27+BE26+BE25+BE24+BE23,IF(AG28&lt;=BD28,(AG28-BD27)/70000*BE28+BE27+BE26+BE25+BE24+BE23)))))))</f>
        <v>224.11514</v>
      </c>
      <c r="AI28" s="19">
        <v>364072.97</v>
      </c>
      <c r="AJ28" s="19">
        <f>IF(AI28&gt;BG30,BG30,AI28)</f>
        <v>364072.97</v>
      </c>
      <c r="AK28" s="107">
        <f>IF(AJ28&lt;BG22,0,IF(AJ28&lt;=BG23,BH23,IF(AJ28&lt;=BG24,(AJ28-BG23)/100000*BH24+BH23,IF(AJ28&lt;=BG25,(AJ28-BG24)/100000*BH25+BH24+BH23,IF(AJ28&lt;=BG26,(AJ28-BG25)/100000*BH26+BH25+BH24+BH23,IF(AJ28&lt;=BG27,(AJ28-BG26)/100000*BH27+BH26+BH25+BH24+BH23,IF(AJ28&lt;=BG28,(AJ28-BG27)/100000*BH28+BH27+BH26+BH25+BH24+BH23,IF(AJ28&lt;=BG29,(AJ28-BG28)/100000*BH29+BH28+BH27+BH26+BH25+BH24+BH23,IF(AJ28&lt;=BG30,(AJ28-BG29)/100000*BH30+BH29+BH28+BH27+BH26+BH25+BH24+BH23)))))))))</f>
        <v>568.14593999999988</v>
      </c>
      <c r="AL28" s="125">
        <f>AE28+AH28+AK28</f>
        <v>792.26107999999988</v>
      </c>
      <c r="AM28" s="108">
        <f>AL28*0.2</f>
        <v>158.45221599999999</v>
      </c>
      <c r="AN28" s="126"/>
      <c r="AO28" s="108">
        <f>AL28+AN28+AM28</f>
        <v>950.7132959999999</v>
      </c>
      <c r="AP28" s="101"/>
      <c r="AQ28" s="101"/>
      <c r="AR28" s="109" t="s">
        <v>180</v>
      </c>
      <c r="AS28" s="109">
        <v>80</v>
      </c>
      <c r="AT28" s="109">
        <v>3.5</v>
      </c>
      <c r="AU28" s="109"/>
      <c r="AV28" s="109">
        <v>83.5</v>
      </c>
      <c r="AW28" s="101"/>
      <c r="AX28" s="113" t="s">
        <v>12</v>
      </c>
      <c r="AY28" s="127">
        <v>500000</v>
      </c>
      <c r="AZ28" s="117">
        <v>200</v>
      </c>
      <c r="BA28" s="18"/>
      <c r="BB28" s="18"/>
      <c r="BC28" s="34"/>
      <c r="BD28" s="127">
        <v>500000</v>
      </c>
      <c r="BE28" s="117">
        <v>150</v>
      </c>
      <c r="BG28" s="34">
        <v>580000</v>
      </c>
      <c r="BH28" s="122">
        <v>400</v>
      </c>
      <c r="BI28" s="123"/>
      <c r="BJ28" s="124"/>
      <c r="CE28" s="18" t="s">
        <v>9</v>
      </c>
      <c r="CF28" s="34">
        <v>220000</v>
      </c>
      <c r="CG28" s="117">
        <v>500</v>
      </c>
      <c r="CH28" s="34">
        <v>230000</v>
      </c>
      <c r="CI28" s="117">
        <v>500</v>
      </c>
      <c r="CJ28" s="34">
        <v>280000</v>
      </c>
      <c r="CK28" s="117">
        <v>200</v>
      </c>
    </row>
    <row r="29" spans="1:89" ht="55" customHeight="1">
      <c r="A29" s="105" t="s">
        <v>170</v>
      </c>
      <c r="B29" s="105"/>
      <c r="C29" s="105"/>
      <c r="D29" s="105"/>
      <c r="E29" s="105"/>
      <c r="F29" s="105"/>
      <c r="G29" s="105">
        <f>IF(AG29&gt;BD20,BD19,BD18)</f>
        <v>300</v>
      </c>
      <c r="H29" s="105">
        <f>IF(AG29&gt;BE20,BE19,BE18)</f>
        <v>200</v>
      </c>
      <c r="I29" s="105"/>
      <c r="J29" s="105">
        <f>IF(AJ29&gt;BG20,BG19,BG18)</f>
        <v>50</v>
      </c>
      <c r="K29" s="105">
        <f>IF(AJ29&gt;BH20,BH19,BH18)</f>
        <v>50</v>
      </c>
      <c r="L29" s="105">
        <f>IF(AJ29&gt;BI20,BI19,BI18)</f>
        <v>50</v>
      </c>
      <c r="M29" s="105">
        <f>IF(AJ29&gt;BJ20,BJ19,BJ18)</f>
        <v>200</v>
      </c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6">
        <f t="shared" si="8"/>
        <v>850</v>
      </c>
      <c r="AC29" s="19">
        <v>0</v>
      </c>
      <c r="AD29" s="19">
        <f>IF(AC29&gt;AY28,AY28,AC29)</f>
        <v>0</v>
      </c>
      <c r="AE29" s="107">
        <f>IF(AD29&lt;AY22,0,IF(AD29&lt;=AY23,AZ23,IF(AD29&lt;=AY24,(AD29-AY23)/100000*AZ24+AZ23,IF(AD29&lt;=AY25,(AD29-AY24)/100000*AZ25+AZ24+AZ23,IF(AD29&lt;=AY26,(AD29-AY25)/100000*AZ26+AZ25+AZ24+AZ23,IF(AD29&lt;=AY27,(AD29-AY26)/100000*AZ27+AZ26+AZ25+AZ24+AZ23,IF(AD29&lt;=AY28,(AD29-AY27)/80000*AZ28+AZ27+AZ26+AZ25+AZ24+AZ23)))))))</f>
        <v>0</v>
      </c>
      <c r="AF29" s="19">
        <v>62966.9</v>
      </c>
      <c r="AG29" s="19">
        <f>IF(AF29&gt;BD28,BD28,AF29)</f>
        <v>62966.9</v>
      </c>
      <c r="AH29" s="107">
        <f>IF(AG29&lt;BD22,0,IF(AG29&lt;=BD23,BE23,IF(AG29&lt;=BD24,(AG29-BD23)/100000*BE24+BE23,IF(AG29&lt;=BD25,(AG29-BD24)/100000*BE25+BE24+BE23,IF(AG29&lt;=BD26,(AG29-BD25)/100000*BE26+BE25+BE24+BE23,IF(AG29&lt;=BD27,(AG29-BD26)/100000*BE27+BE26+BE25+BE24+BE23,IF(AG29&lt;=BD28,(AG29-BD27)/70000*BE28+BE27+BE26+BE25+BE24+BE23)))))))</f>
        <v>148.9007</v>
      </c>
      <c r="AI29" s="19">
        <v>749293.51</v>
      </c>
      <c r="AJ29" s="19">
        <f>IF(AI29&gt;BG31,BG31,AI29)</f>
        <v>749293.51</v>
      </c>
      <c r="AK29" s="107">
        <f>IF(AJ29&lt;BG22,0,IF(AJ29&lt;=BG23,BH23,IF(AJ29&lt;=BG24,(AJ29-BG23)/100000*BH24+BH23,IF(AJ29&lt;=BG25,(AJ29-BG24)/100000*BH25+BH24+BH23,IF(AJ29&lt;=BG26,(AJ29-BG25)/100000*BH26+BH25+BH24+BH23,IF(AJ29&lt;=BG27,(AJ29-BG26)/100000*BH27+BH26+BH25+BH24+BH23,IF(AJ29&lt;=BG28,(AJ29-BG27)/100000*BH28+BH27+BH26+BH25+BH24+BH23,IF(AJ29&lt;=BG29,(AJ29-BG28)/100000*BH29+BH28+BH27+BH26+BH25+BH24+BH23,IF(AJ29&lt;=BG31,(AJ29-BG29)/100000*BH30+BH29+BH28+BH27+BH26+BH25+BH24+BH23)))))))))</f>
        <v>1638.5870199999999</v>
      </c>
      <c r="AL29" s="107">
        <f>AE29+AH29+AK29</f>
        <v>1787.4877199999999</v>
      </c>
      <c r="AM29" s="108"/>
      <c r="AN29" s="108"/>
      <c r="AO29" s="108">
        <f>AL29+AN29+AM29</f>
        <v>1787.4877199999999</v>
      </c>
      <c r="AP29" s="101"/>
      <c r="AQ29" s="101"/>
      <c r="AR29" s="109" t="s">
        <v>181</v>
      </c>
      <c r="AS29" s="109">
        <v>80</v>
      </c>
      <c r="AT29" s="109">
        <v>3</v>
      </c>
      <c r="AU29" s="109"/>
      <c r="AV29" s="109">
        <v>83</v>
      </c>
      <c r="AW29" s="101"/>
      <c r="AX29" s="113" t="s">
        <v>13</v>
      </c>
      <c r="AY29" s="34">
        <v>600000</v>
      </c>
      <c r="AZ29" s="117"/>
      <c r="BA29" s="18"/>
      <c r="BB29" s="18"/>
      <c r="BC29" s="34"/>
      <c r="BD29" s="34">
        <v>600000</v>
      </c>
      <c r="BE29" s="117"/>
      <c r="BG29" s="34">
        <v>680000</v>
      </c>
      <c r="BH29" s="122">
        <v>300</v>
      </c>
      <c r="BI29" s="123"/>
      <c r="BJ29" s="124"/>
      <c r="CE29" s="18" t="s">
        <v>10</v>
      </c>
      <c r="CF29" s="34">
        <v>320000</v>
      </c>
      <c r="CG29" s="117">
        <v>600</v>
      </c>
      <c r="CH29" s="34">
        <v>330000</v>
      </c>
      <c r="CI29" s="117">
        <v>400</v>
      </c>
      <c r="CJ29" s="34">
        <v>380000</v>
      </c>
      <c r="CK29" s="117">
        <v>200</v>
      </c>
    </row>
    <row r="30" spans="1:89" ht="55" customHeight="1">
      <c r="A30" s="105" t="s">
        <v>182</v>
      </c>
      <c r="B30" s="105">
        <f>IF(AD30&gt;AY20,AY19,AY18)</f>
        <v>20</v>
      </c>
      <c r="C30" s="105">
        <f>IF(AD30&gt;AZ20,AZ19,AZ18)</f>
        <v>20</v>
      </c>
      <c r="D30" s="105">
        <f>IF(AD30&gt;BA20,BA19,BA18)</f>
        <v>20</v>
      </c>
      <c r="E30" s="105"/>
      <c r="F30" s="105"/>
      <c r="G30" s="105">
        <f>IF(AG30&gt;BD20,BD19,BD18)</f>
        <v>300</v>
      </c>
      <c r="H30" s="105">
        <f>IF(AG30&gt;BE20,BE19,BE18)</f>
        <v>200</v>
      </c>
      <c r="I30" s="105"/>
      <c r="J30" s="105">
        <f>IF(AJ30&gt;BG20,BG19,BG18)</f>
        <v>50</v>
      </c>
      <c r="K30" s="105">
        <f>IF(AJ30&gt;BH20,BH19,BH18)</f>
        <v>50</v>
      </c>
      <c r="L30" s="105">
        <f>IF(AJ30&gt;BI20,BI19,BI18)</f>
        <v>50</v>
      </c>
      <c r="M30" s="105">
        <f>IF(AJ30&gt;BJ20,BJ19,BJ18)</f>
        <v>200</v>
      </c>
      <c r="N30" s="105">
        <f>BK19</f>
        <v>150</v>
      </c>
      <c r="O30" s="105">
        <f>BL18</f>
        <v>20</v>
      </c>
      <c r="P30" s="105">
        <f>BM18</f>
        <v>20</v>
      </c>
      <c r="Q30" s="105"/>
      <c r="R30" s="121">
        <f>BO18</f>
        <v>20</v>
      </c>
      <c r="S30" s="121">
        <f t="shared" ref="S30" si="11">BP18</f>
        <v>20</v>
      </c>
      <c r="T30" s="121">
        <f>BQ18</f>
        <v>20</v>
      </c>
      <c r="U30" s="105"/>
      <c r="V30" s="105"/>
      <c r="W30" s="105"/>
      <c r="X30" s="105"/>
      <c r="Y30" s="105"/>
      <c r="Z30" s="105"/>
      <c r="AA30" s="105">
        <f>BX19</f>
        <v>100</v>
      </c>
      <c r="AB30" s="106">
        <f t="shared" si="8"/>
        <v>1260</v>
      </c>
      <c r="AC30" s="19">
        <v>3169.07</v>
      </c>
      <c r="AD30" s="19">
        <f>IF(AC30&gt;AY28,AY28,AC30)</f>
        <v>3169.07</v>
      </c>
      <c r="AE30" s="107">
        <f>IF(AD30&lt;AY22,0,IF(AD30&lt;=AY23,AZ23,IF(AD30&lt;=AY24,(AD30-AY23)/100000*AZ24+AZ23,IF(AD30&lt;=AY25,(AD30-AY24)/100000*AZ25+AZ24+AZ23,IF(AD30&lt;=AY26,(AD30-AY25)/100000*AZ26+AZ25+AZ24+AZ23,IF(AD30&lt;=AY27,(AD30-AY26)/100000*AZ27+AZ26+AZ25+AZ24+AZ23,IF(AD30&lt;=AY28,(AD30-AY27)/80000*AZ28+AZ27+AZ26+AZ25+AZ24+AZ23)))))))</f>
        <v>0</v>
      </c>
      <c r="AF30" s="19">
        <v>37924.300000000003</v>
      </c>
      <c r="AG30" s="19">
        <f>IF(AF30&gt;BD28,BD28,AF30)</f>
        <v>37924.300000000003</v>
      </c>
      <c r="AH30" s="107">
        <f>IF(AG30&lt;BD22,0,IF(AG30&lt;=BD23,BE23,IF(AG30&lt;=BD24,(AG30-BD23)/100000*BE24+BE23,IF(AG30&lt;=BD25,(AG30-BD24)/100000*BE25+BE24+BE23,IF(AG30&lt;=BD26,(AG30-BD25)/100000*BE26+BE25+BE24+BE23,IF(AG30&lt;=BD27,(AG30-BD26)/100000*BE27+BE26+BE25+BE24+BE23,IF(AG30&lt;=BD28,(AG30-BD27)/70000*BE28+BE27+BE26+BE25+BE24+BE23)))))))</f>
        <v>73.772900000000007</v>
      </c>
      <c r="AI30" s="19">
        <v>369278.44</v>
      </c>
      <c r="AJ30" s="19">
        <f>IF(AI30&gt;BG30,BG30,AI30)</f>
        <v>369278.44</v>
      </c>
      <c r="AK30" s="107">
        <f>IF(AJ30&lt;BG22,0,IF(AJ30&lt;=BG23,BH23,IF(AJ30&lt;=BG24,(AJ30-BG23)/100000*BH24+BH23,IF(AJ30&lt;=BG25,(AJ30-BG24)/100000*BH25+BH24+BH23,IF(AJ30&lt;=BG26,(AJ30-BG25)/100000*BH26+BH25+BH24+BH23,IF(AJ30&lt;=BG27,(AJ30-BG26)/100000*BH27+BH26+BH25+BH24+BH23,IF(AJ30&lt;=BG28,(AJ30-BG27)/100000*BH28+BH27+BH26+BH25+BH24+BH23,IF(AJ30&lt;=BG29,(AJ30-BG28)/100000*BH29+BH28+BH27+BH26+BH25+BH24+BH23,IF(AJ30&lt;=BG30,(AJ30-BG29)/100000*BH30+BH29+BH28+BH27+BH26+BH25+BH24+BH23)))))))))</f>
        <v>578.55687999999998</v>
      </c>
      <c r="AL30" s="107">
        <f t="shared" ref="AL30" si="12">AE30+AH30+AK30</f>
        <v>652.32978000000003</v>
      </c>
      <c r="AM30" s="108"/>
      <c r="AN30" s="108"/>
      <c r="AO30" s="108">
        <f t="shared" si="10"/>
        <v>652.32978000000003</v>
      </c>
      <c r="AP30" s="101"/>
      <c r="AQ30" s="101"/>
      <c r="AR30" s="109" t="s">
        <v>183</v>
      </c>
      <c r="AS30" s="109">
        <v>80</v>
      </c>
      <c r="AT30" s="109">
        <v>-4</v>
      </c>
      <c r="AU30" s="109"/>
      <c r="AV30" s="109">
        <v>76</v>
      </c>
      <c r="AW30" s="101"/>
      <c r="AX30" s="113" t="s">
        <v>14</v>
      </c>
      <c r="AY30" s="34">
        <v>700000</v>
      </c>
      <c r="AZ30" s="117"/>
      <c r="BA30" s="18"/>
      <c r="BB30" s="18"/>
      <c r="BC30" s="34"/>
      <c r="BD30" s="34">
        <v>700000</v>
      </c>
      <c r="BE30" s="117"/>
      <c r="BG30" s="127">
        <v>780000</v>
      </c>
      <c r="BH30" s="122">
        <v>200</v>
      </c>
      <c r="BI30" s="123"/>
      <c r="BJ30" s="124"/>
      <c r="CE30" s="18" t="s">
        <v>11</v>
      </c>
      <c r="CF30" s="34">
        <v>420000</v>
      </c>
      <c r="CG30" s="117">
        <v>400</v>
      </c>
      <c r="CH30" s="34">
        <v>430000</v>
      </c>
      <c r="CI30" s="117">
        <v>300</v>
      </c>
      <c r="CJ30" s="34">
        <v>480000</v>
      </c>
      <c r="CK30" s="117">
        <v>200</v>
      </c>
    </row>
    <row r="31" spans="1:89" ht="55" customHeight="1">
      <c r="A31" s="105" t="s">
        <v>163</v>
      </c>
      <c r="B31" s="105">
        <f>IF(AD31&gt;AY20,AY19,AY18)</f>
        <v>100</v>
      </c>
      <c r="C31" s="105">
        <f>IF(AD31&gt;AZ20,AZ19,AZ18)</f>
        <v>300</v>
      </c>
      <c r="D31" s="105">
        <f>IF(AD31&gt;BA20,BA19,BA18)</f>
        <v>100</v>
      </c>
      <c r="E31" s="105">
        <f>IF(AD31&gt;BB20,BB19,BB18)</f>
        <v>200</v>
      </c>
      <c r="F31" s="105">
        <f>IF(AD31&gt;BC20,BC19,BC18)</f>
        <v>100</v>
      </c>
      <c r="G31" s="105">
        <f>IF(AG31&gt;BD20,BD19,BD18)</f>
        <v>20</v>
      </c>
      <c r="H31" s="105">
        <f>IF(AG31&gt;BE20,BE19,BE18)</f>
        <v>20</v>
      </c>
      <c r="I31" s="105"/>
      <c r="J31" s="105">
        <f>IF(AJ31&gt;BG20,BG19,BG18)</f>
        <v>50</v>
      </c>
      <c r="K31" s="105">
        <f>IF(AJ31&gt;BH20,BH19,BH18)</f>
        <v>50</v>
      </c>
      <c r="L31" s="105">
        <f>IF(AJ31&gt;BI20,BI19,BI18)</f>
        <v>50</v>
      </c>
      <c r="M31" s="105">
        <f>IF(AJ31&gt;BJ20,BJ19,BJ18)</f>
        <v>200</v>
      </c>
      <c r="N31" s="105"/>
      <c r="O31" s="105">
        <f>BL18</f>
        <v>20</v>
      </c>
      <c r="P31" s="105">
        <f>BM18</f>
        <v>20</v>
      </c>
      <c r="Q31" s="105"/>
      <c r="R31" s="121">
        <v>20</v>
      </c>
      <c r="S31" s="121">
        <v>20</v>
      </c>
      <c r="T31" s="105">
        <f>BQ19</f>
        <v>50</v>
      </c>
      <c r="U31" s="105"/>
      <c r="V31" s="105">
        <f>BS19</f>
        <v>50</v>
      </c>
      <c r="W31" s="105"/>
      <c r="X31" s="105"/>
      <c r="Y31" s="105"/>
      <c r="Z31" s="105"/>
      <c r="AA31" s="105"/>
      <c r="AB31" s="106">
        <f t="shared" si="8"/>
        <v>1370</v>
      </c>
      <c r="AC31" s="19">
        <v>102775.75</v>
      </c>
      <c r="AD31" s="19">
        <f>IF(AC31&gt;AY28,AY28,AC31)</f>
        <v>102775.75</v>
      </c>
      <c r="AE31" s="107">
        <f>IF(AD31&lt;AY22,0,IF(AD31&lt;=AY23,AZ23,IF(AD31&lt;=AY24,(AD31-AY23)/100000*AZ24+AZ23,IF(AD31&lt;=AY25,(AD31-AY24)/100000*AZ25+AZ24+AZ23,IF(AD31&lt;=AY26,(AD31-AY25)/100000*AZ26+AZ25+AZ24+AZ23,IF(AD31&lt;=AY27,(AD31-AY26)/100000*AZ27+AZ26+AZ25+AZ24+AZ23,IF(AD31&lt;=AY28,(AD31-AY27)/80000*AZ28+AZ27+AZ26+AZ25+AZ24+AZ23)))))))</f>
        <v>298.32725000000005</v>
      </c>
      <c r="AF31" s="19">
        <v>12401</v>
      </c>
      <c r="AG31" s="19">
        <f>IF(AF31&gt;BD28,BD28,AF31)</f>
        <v>12401</v>
      </c>
      <c r="AH31" s="107">
        <f>IF(AG31&lt;BD22,0,IF(AG31&lt;=BD23,BE23,IF(AG31&lt;=BD24,(AG31-BD23)/100000*BE24+BE23,IF(AG31&lt;=BD25,(AG31-BD24)/100000*BE25+BE24+BE23,IF(AG31&lt;=BD26,(AG31-BD25)/100000*BE26+BE25+BE24+BE23,IF(AG31&lt;=BD27,(AG31-BD26)/100000*BE27+BE26+BE25+BE24+BE23,IF(AG31&lt;=BD28,(AG31-BD27)/70000*BE28+BE27+BE26+BE25+BE24+BE23)))))))</f>
        <v>50</v>
      </c>
      <c r="AI31" s="19">
        <v>401389.25</v>
      </c>
      <c r="AJ31" s="19">
        <f>IF(AI31&gt;BG30,BG30,AI31)</f>
        <v>401389.25</v>
      </c>
      <c r="AK31" s="107">
        <f>IF(AJ31&lt;BG22,0,IF(AJ31&lt;=BG23,BH23,IF(AJ31&lt;=BG24,(AJ31-BG23)/100000*BH24+BH23,IF(AJ31&lt;=BG25,(AJ31-BG24)/100000*BH25+BH24+BH23,IF(AJ31&lt;=BG26,(AJ31-BG25)/100000*BH26+BH25+BH24+BH23,IF(AJ31&lt;=BG27,(AJ31-BG26)/100000*BH27+BH26+BH25+BH24+BH23,IF(AJ31&lt;=BG28,(AJ31-BG27)/100000*BH28+BH27+BH26+BH25+BH24+BH23,IF(AJ31&lt;=BG29,(AJ31-BG28)/100000*BH29+BH28+BH27+BH26+BH25+BH24+BH23,IF(AJ31&lt;=BG30,(AJ31-BG29)/100000*BH30+BH29+BH28+BH27+BH26+BH25+BH24+BH23)))))))))</f>
        <v>642.77850000000001</v>
      </c>
      <c r="AL31" s="107">
        <f>AE31+AH31+AK31</f>
        <v>991.10575000000006</v>
      </c>
      <c r="AM31" s="108">
        <f>AL31*0.3</f>
        <v>297.33172500000001</v>
      </c>
      <c r="AN31" s="108"/>
      <c r="AO31" s="108">
        <f>AL31+AN31+AM31</f>
        <v>1288.4374750000002</v>
      </c>
      <c r="AP31" s="101"/>
      <c r="AQ31" s="101"/>
      <c r="AR31" s="109" t="s">
        <v>184</v>
      </c>
      <c r="AS31" s="109">
        <v>80</v>
      </c>
      <c r="AT31" s="109">
        <v>-5</v>
      </c>
      <c r="AU31" s="109"/>
      <c r="AV31" s="109">
        <v>75</v>
      </c>
      <c r="AW31" s="101"/>
      <c r="AZ31" s="22">
        <f>SUM(AZ22:AZ30)</f>
        <v>2050</v>
      </c>
      <c r="BE31" s="22">
        <f>SUM(BE22:BE30)</f>
        <v>1700</v>
      </c>
      <c r="BG31" s="128">
        <v>800000</v>
      </c>
      <c r="BH31" s="129">
        <v>40</v>
      </c>
      <c r="CE31" s="18" t="s">
        <v>12</v>
      </c>
      <c r="CF31" s="127">
        <v>500000</v>
      </c>
      <c r="CG31" s="117">
        <v>200</v>
      </c>
      <c r="CH31" s="127">
        <v>500000</v>
      </c>
      <c r="CI31" s="117">
        <v>150</v>
      </c>
      <c r="CJ31" s="34">
        <v>580000</v>
      </c>
      <c r="CK31" s="117">
        <v>400</v>
      </c>
    </row>
    <row r="32" spans="1:89" ht="55" customHeight="1">
      <c r="A32" s="105" t="s">
        <v>185</v>
      </c>
      <c r="B32" s="130"/>
      <c r="C32" s="130"/>
      <c r="D32" s="130"/>
      <c r="E32" s="130"/>
      <c r="F32" s="130"/>
      <c r="G32" s="130">
        <f>IF(AG32&gt;BD20,BD19,BD18)</f>
        <v>300</v>
      </c>
      <c r="H32" s="130">
        <f>IF(AG32&gt;BE20,BE19,BE18)</f>
        <v>200</v>
      </c>
      <c r="I32" s="130"/>
      <c r="J32" s="130">
        <f>IF(AJ32&gt;BG20,BG19,BG18)</f>
        <v>50</v>
      </c>
      <c r="K32" s="130">
        <f>IF(AJ32&gt;BH20,BH19,BH18)</f>
        <v>50</v>
      </c>
      <c r="L32" s="130">
        <f>IF(AJ32&gt;BI20,BI19,BI18)</f>
        <v>50</v>
      </c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06">
        <f t="shared" si="8"/>
        <v>650</v>
      </c>
      <c r="AC32" s="19">
        <v>0</v>
      </c>
      <c r="AD32" s="19">
        <f>IF(AC32&gt;AY28,AY28,AC32)</f>
        <v>0</v>
      </c>
      <c r="AE32" s="107">
        <f>IF(AD32&lt;AY22,0,IF(AD32&lt;=AY23,AZ23,IF(AD32&lt;=AY24,(AD32-AY23)/100000*AZ24+AZ23,IF(AD32&lt;=AY25,(AD32-AY24)/100000*AZ25+AZ24+AZ23,IF(AD32&lt;=AY26,(AD32-AY25)/100000*AZ26+AZ25+AZ24+AZ23,IF(AD32&lt;=AY27,(AD32-AY26)/100000*AZ27+AZ26+AZ25+AZ24+AZ23,IF(AD32&lt;=AY28,(AD32-AY27)/80000*AZ28+AZ27+AZ26+AZ25+AZ24+AZ23)))))))</f>
        <v>0</v>
      </c>
      <c r="AF32" s="19">
        <v>165483.78</v>
      </c>
      <c r="AG32" s="19">
        <f>IF(AF32&gt;BD28,BD28,AF32)</f>
        <v>165483.78</v>
      </c>
      <c r="AH32" s="107">
        <f>IF(AG32&lt;BD22,0,IF(AG32&lt;=BD23,BE23,IF(AG32&lt;=BD24,(AG32-BD23)/100000*BE24+BE23,IF(AG32&lt;=BD25,(AG32-BD24)/100000*BE25+BE24+BE23,IF(AG32&lt;=BD26,(AG32-BD25)/100000*BE26+BE25+BE24+BE23,IF(AG32&lt;=BD27,(AG32-BD26)/100000*BE27+BE26+BE25+BE24+BE23,IF(AG32&lt;=BD28,(AG32-BD27)/70000*BE28+BE27+BE26+BE25+BE24+BE23)))))))</f>
        <v>527.41890000000001</v>
      </c>
      <c r="AI32" s="19">
        <v>326928.62</v>
      </c>
      <c r="AJ32" s="19">
        <f>IF(AI32&gt;BG30,BG30,AI32)</f>
        <v>326928.62</v>
      </c>
      <c r="AK32" s="107">
        <f>IF(AJ32&lt;BG22,0,IF(AJ32&lt;=BG23,BH23,IF(AJ32&lt;=BG24,(AJ32-BG23)/100000*BH24+BH23,IF(AJ32&lt;=BG25,(AJ32-BG24)/100000*BH25+BH24+BH23,IF(AJ32&lt;=BG26,(AJ32-BG25)/100000*BH26+BH25+BH24+BH23,IF(AJ32&lt;=BG27,(AJ32-BG26)/100000*BH27+BH26+BH25+BH24+BH23,IF(AJ32&lt;=BG28,(AJ32-BG27)/100000*BH28+BH27+BH26+BH25+BH24+BH23,IF(AJ32&lt;=BG29,(AJ32-BG28)/100000*BH29+BH28+BH27+BH26+BH25+BH24+BH23,IF(AJ32&lt;=BG30,(AJ32-BG29)/20000*BH30+BH29+BH28+BH27+BH26+BH25+BH24+BH23)))))))))</f>
        <v>493.85723999999999</v>
      </c>
      <c r="AL32" s="107">
        <f>AE32+AH32+AK32</f>
        <v>1021.2761399999999</v>
      </c>
      <c r="AM32" s="108"/>
      <c r="AN32" s="108"/>
      <c r="AO32" s="108">
        <f>AL32+AN32+AM32</f>
        <v>1021.2761399999999</v>
      </c>
      <c r="AP32" s="101"/>
      <c r="AQ32" s="101"/>
      <c r="AR32" s="109" t="s">
        <v>182</v>
      </c>
      <c r="AS32" s="109">
        <v>80</v>
      </c>
      <c r="AT32" s="109">
        <v>-9</v>
      </c>
      <c r="AU32" s="109">
        <v>3.3</v>
      </c>
      <c r="AV32" s="109">
        <v>74.3</v>
      </c>
      <c r="AW32" s="101"/>
      <c r="BH32" s="22">
        <f>SUM(BH22:BH31)</f>
        <v>1740</v>
      </c>
      <c r="CE32" s="18" t="s">
        <v>13</v>
      </c>
      <c r="CF32" s="34"/>
      <c r="CG32" s="117"/>
      <c r="CH32" s="34"/>
      <c r="CI32" s="117"/>
      <c r="CJ32" s="34">
        <v>680000</v>
      </c>
      <c r="CK32" s="117">
        <v>300</v>
      </c>
    </row>
    <row r="33" spans="1:89" ht="55" customHeight="1">
      <c r="A33" s="105" t="s">
        <v>40</v>
      </c>
      <c r="B33" s="105"/>
      <c r="C33" s="105"/>
      <c r="D33" s="105"/>
      <c r="E33" s="105"/>
      <c r="F33" s="105"/>
      <c r="G33" s="105">
        <f>IF(AG33&gt;BD20,BD19,BD18)</f>
        <v>300</v>
      </c>
      <c r="H33" s="105">
        <f>IF(AG72&gt;BE20,BE19,BE18)</f>
        <v>200</v>
      </c>
      <c r="I33" s="105"/>
      <c r="J33" s="105">
        <f>IF(AJ33&gt;BG20,BG19,BG18)</f>
        <v>50</v>
      </c>
      <c r="K33" s="105">
        <f>IF(AJ33&gt;BH20,BH19,BH18)</f>
        <v>50</v>
      </c>
      <c r="L33" s="105">
        <f>IF(AJ33&gt;BI20,BI19,BI18)</f>
        <v>50</v>
      </c>
      <c r="M33" s="105">
        <f>IF(AJ33&gt;BJ20,BJ19,BJ18)</f>
        <v>200</v>
      </c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6">
        <f t="shared" si="8"/>
        <v>850</v>
      </c>
      <c r="AC33" s="19">
        <v>0</v>
      </c>
      <c r="AD33" s="19">
        <f>IF(AC33&gt;AY28,AY28,AC33)</f>
        <v>0</v>
      </c>
      <c r="AE33" s="107">
        <f>IF(AD33&lt;AY22,0,IF(AD33&lt;=AY23,AZ23,IF(AD33&lt;=AY24,(AD33-AY23)/100000*AZ24+AZ23,IF(AD33&lt;=AY25,(AD33-AY24)/100000*AZ25+AZ24+AZ23,IF(AD33&lt;=AY26,(AD33-AY25)/100000*AZ26+AZ25+AZ24+AZ23,IF(AD33&lt;=AY27,(AD33-AY26)/100000*AZ27+AZ26+AZ25+AZ24+AZ23,IF(AD33&lt;=AY28,(AD33-AY27)/80000*AZ28+AZ27+AZ26+AZ25+AZ24+AZ23)))))))</f>
        <v>0</v>
      </c>
      <c r="AF33" s="19">
        <v>113295.32</v>
      </c>
      <c r="AG33" s="19">
        <f>IF(AF33&gt;BD28,BD28,AF33)</f>
        <v>113295.32</v>
      </c>
      <c r="AH33" s="107">
        <f>IF(AG33&lt;BD22,0,IF(AG33&lt;=BD23,BE23,IF(AG33&lt;=BD24,(AG33-BD23)/100000*BE24+BE23,IF(AG33&lt;=BD25,(AG33-BD24)/100000*BE25+BE24+BE23,IF(AG33&lt;=BD26,(AG33-BD25)/100000*BE26+BE25+BE24+BE23,IF(AG33&lt;=BD27,(AG33-BD26)/100000*BE27+BE26+BE25+BE24+BE23,IF(AG33&lt;=BD28,(AG33-BD27)/70000*BE28+BE27+BE26+BE25+BE24+BE23)))))))</f>
        <v>299.88596000000001</v>
      </c>
      <c r="AI33" s="19">
        <v>304634.48</v>
      </c>
      <c r="AJ33" s="19">
        <f>IF(AI33&gt;BG30,BG30,AI33)</f>
        <v>304634.48</v>
      </c>
      <c r="AK33" s="107">
        <f>IF(AJ33&lt;BG22,0,IF(AJ33&lt;=BG23,BH23,IF(AJ33&lt;=BG24,(AJ33-BG23)/100000*BH24+BH23,IF(AJ33&lt;=BG25,(AJ33-BG24)/100000*BH25+BH24+BH23,IF(AJ33&lt;=BG26,(AJ33-BG25)/100000*BH26+BH25+BH24+BH23,IF(AJ33&lt;=BG27,(AJ33-BG26)/100000*BH27+BH26+BH25+BH24+BH23,IF(AJ33&lt;=BG28,(AJ33-BG27)/100000*BH28+BH27+BH26+BH25+BH24+BH23,IF(AJ33&lt;=BG29,(AJ33-BG28)/100000*BH29+BH28+BH27+BH26+BH25+BH24+BH23,IF(AJ33&lt;=BG30,(AJ33-BG29)/100000*BH30+BH29+BH28+BH27+BH26+BH25+BH24+BH23)))))))))</f>
        <v>449.26895999999999</v>
      </c>
      <c r="AL33" s="125">
        <f>AE33+AH33+AK33</f>
        <v>749.15491999999995</v>
      </c>
      <c r="AM33" s="108">
        <f>AL33*0.1</f>
        <v>74.915492</v>
      </c>
      <c r="AN33" s="126"/>
      <c r="AO33" s="108">
        <f>AL33+AN33+AM33</f>
        <v>824.07041199999992</v>
      </c>
      <c r="AP33" s="101"/>
      <c r="AQ33" s="101"/>
      <c r="AR33" s="109" t="s">
        <v>186</v>
      </c>
      <c r="AS33" s="109">
        <v>80</v>
      </c>
      <c r="AT33" s="109">
        <v>-11</v>
      </c>
      <c r="AU33" s="109">
        <v>3.3</v>
      </c>
      <c r="AV33" s="109">
        <v>72.3</v>
      </c>
      <c r="AW33" s="101"/>
      <c r="AX33" s="113" t="s">
        <v>169</v>
      </c>
      <c r="AY33" s="110">
        <v>5000</v>
      </c>
      <c r="AZ33" s="112">
        <v>0</v>
      </c>
      <c r="BA33" s="112"/>
      <c r="BB33" s="112"/>
      <c r="BC33" s="34"/>
      <c r="BD33" s="110">
        <v>5000</v>
      </c>
      <c r="BE33" s="112">
        <v>0</v>
      </c>
      <c r="BG33" s="34">
        <v>25000</v>
      </c>
      <c r="BH33" s="34">
        <v>0</v>
      </c>
      <c r="BI33" s="114"/>
      <c r="CE33" s="18" t="s">
        <v>14</v>
      </c>
      <c r="CF33" s="34"/>
      <c r="CG33" s="117"/>
      <c r="CH33" s="34"/>
      <c r="CI33" s="117"/>
      <c r="CJ33" s="127">
        <v>780000</v>
      </c>
      <c r="CK33" s="117">
        <v>200</v>
      </c>
    </row>
    <row r="34" spans="1:89" ht="55" customHeight="1">
      <c r="A34" s="105" t="s">
        <v>186</v>
      </c>
      <c r="B34" s="105"/>
      <c r="C34" s="105"/>
      <c r="D34" s="105"/>
      <c r="E34" s="105"/>
      <c r="F34" s="105">
        <f>IF(AD34&gt;BC20,BC19,BC18)</f>
        <v>20</v>
      </c>
      <c r="G34" s="105">
        <f>IF(AG34&gt;BD20,BD19,BD18)</f>
        <v>300</v>
      </c>
      <c r="H34" s="105">
        <f>IF(AG34&gt;BE20,BE19,BE18)</f>
        <v>200</v>
      </c>
      <c r="I34" s="105"/>
      <c r="J34" s="105">
        <f>IF(AJ34&gt;BG20,BG19,BG18)</f>
        <v>50</v>
      </c>
      <c r="K34" s="105">
        <f>IF(AJ34&gt;BH20,BH19,BH18)</f>
        <v>50</v>
      </c>
      <c r="L34" s="105">
        <f>IF(AJ34&gt;BI20,BI19,BI18)</f>
        <v>50</v>
      </c>
      <c r="M34" s="105">
        <f>IF(AJ34&gt;BJ20,BJ19,BJ18)</f>
        <v>200</v>
      </c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6">
        <f t="shared" si="8"/>
        <v>870</v>
      </c>
      <c r="AC34" s="19">
        <v>0</v>
      </c>
      <c r="AD34" s="19">
        <f>IF(AC34&gt;AY28,AY28,AC34)</f>
        <v>0</v>
      </c>
      <c r="AE34" s="107">
        <f>IF(AD34&lt;AY22,0,IF(AD34&lt;=AY23,AZ23,IF(AD34&lt;=AY24,(AD34-AY23)/100000*AZ24+AZ23,IF(AD34&lt;=AY25,(AD34-AY24)/100000*AZ25+AZ24+AZ23,IF(AD34&lt;=AY26,(AD34-AY25)/100000*AZ26+AZ25+AZ24+AZ23,IF(AD34&lt;=AY27,(AD34-AY26)/100000*AZ27+AZ26+AZ25+AZ24+AZ23,IF(AD34&lt;=AY28,(AD34-AY27)/80000*AZ28+AZ27+AZ26+AZ25+AZ24+AZ23)))))))</f>
        <v>0</v>
      </c>
      <c r="AF34" s="19">
        <v>122986.85</v>
      </c>
      <c r="AG34" s="19">
        <f>IF(AF34&gt;BD28,BD28,AF34)</f>
        <v>122986.85</v>
      </c>
      <c r="AH34" s="107">
        <f>IF(AG34&lt;BD22,0,IF(AG34&lt;=BD23,BE23,IF(AG34&lt;=BD24,(AG34-BD23)/100000*BE24+BE23,IF(AG34&lt;=BD25,(AG34-BD24)/100000*BE25+BE24+BE23,IF(AG34&lt;=BD26,(AG34-BD25)/100000*BE26+BE25+BE24+BE23,IF(AG34&lt;=BD27,(AG34-BD26)/100000*BE27+BE26+BE25+BE24+BE23,IF(AG34&lt;=BD28,(AG34-BD27)/70000*BE28+BE27+BE26+BE25+BE24+BE23)))))))</f>
        <v>328.96055000000001</v>
      </c>
      <c r="AI34" s="19">
        <v>417248.26</v>
      </c>
      <c r="AJ34" s="19">
        <f>IF(AI34&gt;BG30,BG30,AI34)</f>
        <v>417248.26</v>
      </c>
      <c r="AK34" s="107">
        <f>IF(AJ34&lt;BG22,0,IF(AJ34&lt;=BG23,BH23,IF(AJ34&lt;=BG24,(AJ34-BG23)/100000*BH24+BH23,IF(AJ34&lt;=BG25,(AJ34-BG24)/100000*BH25+BH24+BH23,IF(AJ34&lt;=BG26,(AJ34-BG25)/100000*BH26+BH25+BH24+BH23,IF(AJ34&lt;=BG27,(AJ34-BG26)/100000*BH27+BH26+BH25+BH24+BH23,IF(AJ34&lt;=BG28,(AJ34-BG27)/100000*BH28+BH27+BH26+BH25+BH24+BH23,IF(AJ34&lt;=BG29,(AJ34-BG28)/100000*BH29+BH28+BH27+BH26+BH25+BH24+BH23,IF(AJ34&lt;=BG30,(AJ34-BG29)/100000*BH30+BH29+BH28+BH27+BH26+BH25+BH24+BH23)))))))))</f>
        <v>674.49652000000003</v>
      </c>
      <c r="AL34" s="107">
        <f>AE34+AH34+AK34</f>
        <v>1003.45707</v>
      </c>
      <c r="AM34" s="107"/>
      <c r="AN34" s="108"/>
      <c r="AO34" s="108">
        <f t="shared" si="10"/>
        <v>1003.45707</v>
      </c>
      <c r="AP34" s="101"/>
      <c r="AQ34" s="101"/>
      <c r="AR34" s="109" t="s">
        <v>187</v>
      </c>
      <c r="AS34" s="109">
        <v>80</v>
      </c>
      <c r="AT34" s="109">
        <v>-11</v>
      </c>
      <c r="AU34" s="109"/>
      <c r="AV34" s="109">
        <v>69</v>
      </c>
      <c r="AW34" s="101"/>
      <c r="AX34" s="113"/>
      <c r="AY34" s="110">
        <v>10000</v>
      </c>
      <c r="AZ34" s="112">
        <v>50</v>
      </c>
      <c r="BA34" s="112"/>
      <c r="BB34" s="112"/>
      <c r="BC34" s="34"/>
      <c r="BD34" s="110">
        <v>15000</v>
      </c>
      <c r="BE34" s="112">
        <v>50</v>
      </c>
      <c r="BG34" s="34">
        <v>40000</v>
      </c>
      <c r="BH34" s="34">
        <v>50</v>
      </c>
      <c r="BI34" s="114"/>
    </row>
    <row r="35" spans="1:89" ht="55" customHeight="1">
      <c r="A35" s="105" t="s">
        <v>188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6">
        <f>SUM(B35:AA35)</f>
        <v>0</v>
      </c>
      <c r="AC35" s="19">
        <v>0</v>
      </c>
      <c r="AD35" s="19">
        <f>IF(AC35&gt;AY28,AY28,AC35)</f>
        <v>0</v>
      </c>
      <c r="AE35" s="107">
        <f>IF(AD35&lt;AY22,0,IF(AD35&lt;=AY23,AZ23,IF(AD35&lt;=AY24,(AD35-AY23)/100000*AZ24+AZ23,IF(AD35&lt;=AY25,(AD35-AY24)/100000*AZ25+AZ24+AZ23,IF(AD35&lt;=AY26,(AD35-AY25)/100000*AZ26+AZ25+AZ24+AZ23,IF(AD35&lt;=AY27,(AD35-AY26)/100000*AZ27+AZ26+AZ25+AZ24+AZ23,IF(AD35&lt;=AY28,(AD35-AY27)/80000*AZ28+AZ27+AZ26+AZ25+AZ24+AZ23)))))))</f>
        <v>0</v>
      </c>
      <c r="AF35" s="19">
        <v>40</v>
      </c>
      <c r="AG35" s="19">
        <f>IF(AF35&gt;BD28,BD28,AF35)</f>
        <v>40</v>
      </c>
      <c r="AH35" s="107">
        <f>IF(AG35&lt;BD22,0,IF(AG35&lt;=BD23,BE23,IF(AG35&lt;=BD24,(AG35-BD23)/100000*BE24+BE23,IF(AG35&lt;=BD25,(AG35-BD24)/100000*BE25+BE24+BE23,IF(AG35&lt;=BD26,(AG35-BD25)/100000*BE26+BE25+BE24+BE23,IF(AG35&lt;=BD27,(AG35-BD26)/100000*BE27+BE26+BE25+BE24+BE23,IF(AG35&lt;=BD28,(AG35-BD27)/70000*BE28+BE27+BE26+BE25+BE24+BE23)))))))</f>
        <v>0</v>
      </c>
      <c r="AI35" s="19">
        <v>75042.259999999995</v>
      </c>
      <c r="AJ35" s="19">
        <f>IF(AI35&gt;BG30,BG30,AI35)</f>
        <v>75042.259999999995</v>
      </c>
      <c r="AK35" s="107">
        <f>IF(AJ35&lt;BG22,0,IF(AJ35&lt;=BG23,BH23,IF(AJ35&lt;=BG24,(AJ35-BG23)/100000*BH24+BH23,IF(AJ35&lt;=BG25,(AJ35-BG24)/100000*BH25+BH24+BH23,IF(AJ35&lt;=BG26,(AJ35-BG25)/100000*BH26+BH25+BH24+BH23,IF(AJ35&lt;=BG27,(AJ35-BG26)/100000*BH27+BH26+BH25+BH24+BH23,IF(AJ35&lt;=BG28,(AJ35-BG27)/100000*BH28+BH27+BH26+BH25+BH24+BH23,IF(AJ35&lt;=BG29,(AJ35-BG28)/100000*BH29+BH28+BH27+BH26+BH25+BH24+BH23,IF(AJ35&lt;=BG30,(AJ35-BG29)/100000*BH30+BH29+BH28+BH27+BH26+BH25+BH24+BH23)))))))))</f>
        <v>50</v>
      </c>
      <c r="AL35" s="125">
        <f>AE35+AH35+AK35</f>
        <v>50</v>
      </c>
      <c r="AM35" s="108"/>
      <c r="AN35" s="126"/>
      <c r="AO35" s="108">
        <f>AL35+AN35+AM35</f>
        <v>50</v>
      </c>
      <c r="AP35" s="101"/>
      <c r="AQ35" s="101"/>
      <c r="AR35" s="109" t="s">
        <v>189</v>
      </c>
      <c r="AS35" s="109">
        <v>80</v>
      </c>
      <c r="AT35" s="109">
        <v>-25.5</v>
      </c>
      <c r="AU35" s="109"/>
      <c r="AV35" s="109">
        <v>54.5</v>
      </c>
      <c r="AW35" s="101"/>
      <c r="AX35" s="113" t="s">
        <v>172</v>
      </c>
      <c r="AY35" s="34">
        <v>110000</v>
      </c>
      <c r="AZ35" s="116">
        <v>300</v>
      </c>
      <c r="BA35" s="113"/>
      <c r="BB35" s="113"/>
      <c r="BC35" s="34"/>
      <c r="BD35" s="34">
        <v>150000</v>
      </c>
      <c r="BE35" s="117">
        <v>300</v>
      </c>
      <c r="BG35" s="34">
        <v>140000</v>
      </c>
      <c r="BH35" s="118">
        <v>150</v>
      </c>
      <c r="BI35" s="119"/>
    </row>
    <row r="36" spans="1:89" ht="64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D36" s="77"/>
      <c r="AE36" s="77"/>
      <c r="AG36" s="4"/>
      <c r="AH36" s="77"/>
      <c r="AJ36" s="4"/>
      <c r="AK36" s="77"/>
      <c r="AL36" s="77"/>
      <c r="AM36" s="77">
        <f>SUM(AM18:AM34)</f>
        <v>372.04350699999998</v>
      </c>
      <c r="AN36" s="77"/>
      <c r="AO36" s="77">
        <f>SUM(AO18:AO34)</f>
        <v>12981.976366999999</v>
      </c>
      <c r="AP36" s="101"/>
      <c r="AQ36" s="101"/>
      <c r="AR36" s="101"/>
      <c r="AS36" s="101"/>
      <c r="AT36" s="101"/>
      <c r="AU36" s="101"/>
      <c r="AV36" s="101"/>
      <c r="AW36" s="77"/>
      <c r="AX36" s="113" t="s">
        <v>9</v>
      </c>
      <c r="AY36" s="34">
        <v>210000</v>
      </c>
      <c r="AZ36" s="117">
        <v>500</v>
      </c>
      <c r="BA36" s="18"/>
      <c r="BB36" s="18"/>
      <c r="BC36" s="34"/>
      <c r="BD36" s="34">
        <v>250000</v>
      </c>
      <c r="BE36" s="117">
        <v>500</v>
      </c>
      <c r="BG36" s="34">
        <v>240000</v>
      </c>
      <c r="BH36" s="122">
        <v>200</v>
      </c>
      <c r="BI36" s="123"/>
    </row>
    <row r="37" spans="1:89" ht="81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D37" s="77"/>
      <c r="AE37" s="77"/>
      <c r="AG37" s="4"/>
      <c r="AH37" s="77"/>
      <c r="AJ37" s="4"/>
      <c r="AK37" s="77"/>
      <c r="AL37" s="77"/>
      <c r="AM37" s="77"/>
      <c r="AN37" s="77"/>
      <c r="AO37" s="77"/>
      <c r="AW37" s="77"/>
      <c r="BG37" s="34">
        <v>340000</v>
      </c>
      <c r="BH37" s="122">
        <v>200</v>
      </c>
    </row>
    <row r="38" spans="1:89" ht="81" customHeight="1">
      <c r="A38" s="131"/>
      <c r="B38" s="201" t="s">
        <v>190</v>
      </c>
      <c r="C38" s="202"/>
      <c r="D38" s="202"/>
      <c r="E38" s="203"/>
      <c r="F38" s="207" t="s">
        <v>58</v>
      </c>
      <c r="G38" s="208"/>
      <c r="H38" s="193" t="s">
        <v>59</v>
      </c>
      <c r="I38" s="194"/>
      <c r="J38" s="194"/>
      <c r="K38" s="194"/>
      <c r="L38" s="194"/>
      <c r="M38" s="194"/>
      <c r="N38" s="194"/>
      <c r="O38" s="195"/>
      <c r="P38" s="176" t="s">
        <v>191</v>
      </c>
      <c r="Q38" s="177"/>
      <c r="R38" s="177"/>
      <c r="S38" s="178"/>
      <c r="T38" s="182" t="s">
        <v>192</v>
      </c>
      <c r="U38" s="183"/>
      <c r="V38" s="183"/>
      <c r="W38" s="183"/>
      <c r="X38" s="184"/>
      <c r="Y38" s="188" t="s">
        <v>193</v>
      </c>
      <c r="Z38" s="196" t="s">
        <v>130</v>
      </c>
      <c r="AA38" s="132"/>
      <c r="AB38" s="133"/>
      <c r="AC38" s="199" t="s">
        <v>61</v>
      </c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X38" s="103" t="s">
        <v>1</v>
      </c>
      <c r="AY38" s="201" t="s">
        <v>190</v>
      </c>
      <c r="AZ38" s="202"/>
      <c r="BA38" s="202"/>
      <c r="BB38" s="203"/>
      <c r="BC38" s="207" t="s">
        <v>58</v>
      </c>
      <c r="BD38" s="208"/>
      <c r="BE38" s="193" t="s">
        <v>59</v>
      </c>
      <c r="BF38" s="194"/>
      <c r="BG38" s="194"/>
      <c r="BH38" s="194"/>
      <c r="BI38" s="194"/>
      <c r="BJ38" s="194"/>
      <c r="BK38" s="194"/>
      <c r="BL38" s="195"/>
      <c r="BM38" s="176" t="s">
        <v>191</v>
      </c>
      <c r="BN38" s="177"/>
      <c r="BO38" s="177"/>
      <c r="BP38" s="178"/>
      <c r="BQ38" s="182" t="s">
        <v>192</v>
      </c>
      <c r="BR38" s="183"/>
      <c r="BS38" s="183"/>
      <c r="BT38" s="183"/>
      <c r="BU38" s="184"/>
      <c r="BV38" s="188" t="s">
        <v>193</v>
      </c>
      <c r="BW38" s="190" t="s">
        <v>194</v>
      </c>
    </row>
    <row r="39" spans="1:89" ht="81" customHeight="1">
      <c r="A39" s="131"/>
      <c r="B39" s="204"/>
      <c r="C39" s="205"/>
      <c r="D39" s="205"/>
      <c r="E39" s="206"/>
      <c r="F39" s="134" t="s">
        <v>195</v>
      </c>
      <c r="G39" s="134" t="s">
        <v>196</v>
      </c>
      <c r="H39" s="193" t="s">
        <v>195</v>
      </c>
      <c r="I39" s="194"/>
      <c r="J39" s="195"/>
      <c r="K39" s="193" t="s">
        <v>196</v>
      </c>
      <c r="L39" s="194"/>
      <c r="M39" s="195"/>
      <c r="N39" s="135" t="s">
        <v>197</v>
      </c>
      <c r="O39" s="135" t="s">
        <v>197</v>
      </c>
      <c r="P39" s="179"/>
      <c r="Q39" s="180"/>
      <c r="R39" s="180"/>
      <c r="S39" s="181"/>
      <c r="T39" s="185"/>
      <c r="U39" s="186"/>
      <c r="V39" s="186"/>
      <c r="W39" s="186"/>
      <c r="X39" s="187"/>
      <c r="Y39" s="189"/>
      <c r="Z39" s="197"/>
      <c r="AA39" s="136"/>
      <c r="AB39" s="137"/>
      <c r="AC39" s="8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82"/>
      <c r="AP39" s="82"/>
      <c r="AQ39" s="82"/>
      <c r="AR39" s="82"/>
      <c r="AS39" s="82"/>
      <c r="AT39" s="82"/>
      <c r="AU39" s="82"/>
      <c r="AV39" s="82"/>
      <c r="AX39" s="103"/>
      <c r="AY39" s="204"/>
      <c r="AZ39" s="205"/>
      <c r="BA39" s="205"/>
      <c r="BB39" s="206"/>
      <c r="BC39" s="134" t="s">
        <v>195</v>
      </c>
      <c r="BD39" s="134" t="s">
        <v>196</v>
      </c>
      <c r="BE39" s="193" t="s">
        <v>195</v>
      </c>
      <c r="BF39" s="194"/>
      <c r="BG39" s="195"/>
      <c r="BH39" s="193" t="s">
        <v>196</v>
      </c>
      <c r="BI39" s="194"/>
      <c r="BJ39" s="195"/>
      <c r="BK39" s="135" t="s">
        <v>197</v>
      </c>
      <c r="BL39" s="135" t="s">
        <v>197</v>
      </c>
      <c r="BM39" s="179"/>
      <c r="BN39" s="180"/>
      <c r="BO39" s="180"/>
      <c r="BP39" s="181"/>
      <c r="BQ39" s="185"/>
      <c r="BR39" s="186"/>
      <c r="BS39" s="186"/>
      <c r="BT39" s="186"/>
      <c r="BU39" s="187"/>
      <c r="BV39" s="189"/>
      <c r="BW39" s="191"/>
    </row>
    <row r="40" spans="1:89" s="22" customFormat="1" ht="189" customHeight="1">
      <c r="A40" s="87" t="s">
        <v>67</v>
      </c>
      <c r="B40" s="138" t="s">
        <v>198</v>
      </c>
      <c r="C40" s="138" t="s">
        <v>199</v>
      </c>
      <c r="D40" s="138" t="s">
        <v>200</v>
      </c>
      <c r="E40" s="138" t="s">
        <v>201</v>
      </c>
      <c r="F40" s="139" t="s">
        <v>202</v>
      </c>
      <c r="G40" s="139" t="s">
        <v>203</v>
      </c>
      <c r="H40" s="117" t="s">
        <v>204</v>
      </c>
      <c r="I40" s="117" t="s">
        <v>205</v>
      </c>
      <c r="J40" s="117" t="s">
        <v>206</v>
      </c>
      <c r="K40" s="117" t="s">
        <v>207</v>
      </c>
      <c r="L40" s="117" t="s">
        <v>208</v>
      </c>
      <c r="M40" s="117" t="s">
        <v>209</v>
      </c>
      <c r="N40" s="140" t="s">
        <v>210</v>
      </c>
      <c r="O40" s="140" t="s">
        <v>211</v>
      </c>
      <c r="P40" s="141" t="s">
        <v>212</v>
      </c>
      <c r="Q40" s="141" t="s">
        <v>213</v>
      </c>
      <c r="R40" s="141" t="s">
        <v>214</v>
      </c>
      <c r="S40" s="141" t="s">
        <v>215</v>
      </c>
      <c r="T40" s="142" t="s">
        <v>216</v>
      </c>
      <c r="U40" s="142" t="s">
        <v>217</v>
      </c>
      <c r="V40" s="142" t="s">
        <v>218</v>
      </c>
      <c r="W40" s="142" t="s">
        <v>219</v>
      </c>
      <c r="X40" s="142" t="s">
        <v>220</v>
      </c>
      <c r="Y40" s="143" t="s">
        <v>221</v>
      </c>
      <c r="Z40" s="198"/>
      <c r="AA40" s="144"/>
      <c r="AB40" s="145"/>
      <c r="AC40" s="146" t="s">
        <v>84</v>
      </c>
      <c r="AD40" s="147" t="s">
        <v>85</v>
      </c>
      <c r="AE40" s="148" t="s">
        <v>86</v>
      </c>
      <c r="AF40" s="146" t="s">
        <v>87</v>
      </c>
      <c r="AG40" s="147" t="s">
        <v>88</v>
      </c>
      <c r="AH40" s="148" t="s">
        <v>89</v>
      </c>
      <c r="AI40" s="146" t="s">
        <v>90</v>
      </c>
      <c r="AJ40" s="147" t="s">
        <v>91</v>
      </c>
      <c r="AK40" s="148" t="s">
        <v>92</v>
      </c>
      <c r="AL40" s="149" t="s">
        <v>152</v>
      </c>
      <c r="AM40" s="148" t="s">
        <v>222</v>
      </c>
      <c r="AN40" s="149" t="s">
        <v>223</v>
      </c>
      <c r="AO40" s="82"/>
      <c r="AP40" s="82"/>
      <c r="AQ40" s="82"/>
      <c r="AR40" s="82"/>
      <c r="AS40" s="82"/>
      <c r="AT40" s="82"/>
      <c r="AU40" s="82"/>
      <c r="AV40" s="82"/>
      <c r="AW40" s="102"/>
      <c r="AX40" s="103" t="s">
        <v>2</v>
      </c>
      <c r="AY40" s="150" t="s">
        <v>198</v>
      </c>
      <c r="AZ40" s="150" t="s">
        <v>199</v>
      </c>
      <c r="BA40" s="150" t="s">
        <v>200</v>
      </c>
      <c r="BB40" s="150" t="s">
        <v>224</v>
      </c>
      <c r="BC40" s="151" t="s">
        <v>202</v>
      </c>
      <c r="BD40" s="151" t="s">
        <v>203</v>
      </c>
      <c r="BE40" s="152" t="s">
        <v>204</v>
      </c>
      <c r="BF40" s="152" t="s">
        <v>205</v>
      </c>
      <c r="BG40" s="152" t="s">
        <v>206</v>
      </c>
      <c r="BH40" s="152" t="s">
        <v>207</v>
      </c>
      <c r="BI40" s="152" t="s">
        <v>208</v>
      </c>
      <c r="BJ40" s="152" t="s">
        <v>209</v>
      </c>
      <c r="BK40" s="153" t="s">
        <v>210</v>
      </c>
      <c r="BL40" s="153" t="s">
        <v>211</v>
      </c>
      <c r="BM40" s="154" t="s">
        <v>212</v>
      </c>
      <c r="BN40" s="154" t="s">
        <v>213</v>
      </c>
      <c r="BO40" s="154" t="s">
        <v>214</v>
      </c>
      <c r="BP40" s="154" t="s">
        <v>215</v>
      </c>
      <c r="BQ40" s="155" t="s">
        <v>216</v>
      </c>
      <c r="BR40" s="155" t="s">
        <v>217</v>
      </c>
      <c r="BS40" s="155" t="s">
        <v>218</v>
      </c>
      <c r="BT40" s="155" t="s">
        <v>219</v>
      </c>
      <c r="BU40" s="155" t="s">
        <v>220</v>
      </c>
      <c r="BV40" s="143" t="s">
        <v>221</v>
      </c>
      <c r="BW40" s="192"/>
    </row>
    <row r="41" spans="1:89" ht="55" customHeight="1">
      <c r="A41" s="156" t="s">
        <v>225</v>
      </c>
      <c r="B41" s="156">
        <f>IF(AC41&gt;AY43,AY42,AY41)</f>
        <v>100</v>
      </c>
      <c r="C41" s="156">
        <f>IF(AC41&gt;AZ43,AZ42,AZ41)</f>
        <v>200</v>
      </c>
      <c r="D41" s="156">
        <f>IF(AC41&gt;BA43,BA42,BA41)</f>
        <v>300</v>
      </c>
      <c r="E41" s="157">
        <v>20</v>
      </c>
      <c r="F41" s="156">
        <f>IF(AF41&gt;BC43,BC42,BC41)</f>
        <v>20</v>
      </c>
      <c r="G41" s="156"/>
      <c r="H41" s="156">
        <f>IF(AI41&gt;BE43,BE42,BE41)</f>
        <v>20</v>
      </c>
      <c r="I41" s="156">
        <f>IF(AI41&gt;BF43,BF42,BF41)</f>
        <v>20</v>
      </c>
      <c r="J41" s="156">
        <f>IF(AI41&gt;BG43,BG42,BG41)</f>
        <v>20</v>
      </c>
      <c r="K41" s="156"/>
      <c r="L41" s="156"/>
      <c r="M41" s="156"/>
      <c r="N41" s="156"/>
      <c r="O41" s="156"/>
      <c r="P41" s="156"/>
      <c r="Q41" s="156"/>
      <c r="R41" s="156"/>
      <c r="S41" s="156"/>
      <c r="T41" s="156">
        <f>BQ42</f>
        <v>50</v>
      </c>
      <c r="U41" s="156">
        <f t="shared" ref="U41:X41" si="13">BR42</f>
        <v>50</v>
      </c>
      <c r="V41" s="156">
        <f t="shared" si="13"/>
        <v>50</v>
      </c>
      <c r="W41" s="156">
        <f t="shared" si="13"/>
        <v>50</v>
      </c>
      <c r="X41" s="156">
        <f t="shared" si="13"/>
        <v>100</v>
      </c>
      <c r="Y41" s="156"/>
      <c r="Z41" s="158">
        <f>SUM(B41:Y41)</f>
        <v>1000</v>
      </c>
      <c r="AA41" s="159"/>
      <c r="AB41" s="160"/>
      <c r="AC41" s="161">
        <v>655456</v>
      </c>
      <c r="AD41" s="161">
        <f>IF(AC41&gt;AY50,AY50,AC41)</f>
        <v>500000</v>
      </c>
      <c r="AE41" s="162">
        <f>IF(AD41&lt;=AY45,0,IF(AD41&lt;=AY46,AZ46,IF(AD41&lt;=AY47,(AD41-AY46)/100000*AZ47+AZ46,IF(AD41&lt;=AY48,(AD41-AY47)/100000*AZ48+AZ47+AZ46,IF(AD41&lt;=AY49,(AD41-AY48)/100000*AZ49+AZ48+AZ47+AZ46,IF(AD41&lt;=AY50,(AD41-AY49)/100000*AZ50+AZ49+AZ48+AZ47+AZ46))))))</f>
        <v>1850</v>
      </c>
      <c r="AF41" s="161">
        <v>1463</v>
      </c>
      <c r="AG41" s="161">
        <f>IF(AF41&gt;BD50,BD50,AF41)</f>
        <v>1463</v>
      </c>
      <c r="AH41" s="162">
        <f>IF(AG41&lt;=BD45,0,IF(AG41&lt;=BD46,BE46,IF(AG41&lt;=BD47,(AG41-BD46)/100000*BE47+BE46,IF(AG41&lt;=BD48,(AG41-BD47)/100000*BE48+BE47+BE46,IF(AG41&lt;=BD49,(AG41-BD48)/100000*BE49+BE48+BE47+BE46,IF(AG41&lt;=BD50,(AG41-BD49)/100000*BE50+BE49+BE48+BE47+BE46))))))</f>
        <v>0</v>
      </c>
      <c r="AI41" s="161">
        <v>31048</v>
      </c>
      <c r="AJ41" s="161">
        <f>IF(AI41&gt;BG52,BG52,AI41)</f>
        <v>31048</v>
      </c>
      <c r="AK41" s="162">
        <f>IF(AJ41&lt;=BG45,0,IF(AJ41&lt;=BG46,BH46,IF(AJ41&lt;=BG47,(AJ41-BG46)/100000*BH47+BH46,IF(AJ41&lt;=BG48,(AJ41-BG47)/100000*BH48+BH47+BH46,IF(AJ41&lt;=BG49,(AJ41-BG48)/100000*BH49+BH48+BH47+BH46,IF(AJ41&lt;=BG50,(AJ41-BG49)/100000*BH50+BH49+BH48+BH47+BH46,IF(AJ41&lt;=BG51,(AJ41-BG50)/100000*BH51+BH50+BH49+BH48+BH47+BH46,IF(AJ41&lt;=BG52,(AJ41-BG51)/100000*BH52+BH51+BH50+BH49+BH48+BH47+BH46,IF(AJ41&lt;=BG53,(AJ41-BG52)/100000*BH53+BH52+BH51+BH50+BH49+BH48+BH47+BH46)))))))))</f>
        <v>0</v>
      </c>
      <c r="AL41" s="162">
        <f>AE41+AH41+AK41</f>
        <v>1850</v>
      </c>
      <c r="AM41" s="161"/>
      <c r="AN41" s="161"/>
      <c r="AO41" s="82"/>
      <c r="AP41" s="82"/>
      <c r="AQ41" s="82"/>
      <c r="AR41" s="82"/>
      <c r="AS41" s="82"/>
      <c r="AT41" s="82"/>
      <c r="AU41" s="82"/>
      <c r="AV41" s="82"/>
      <c r="AW41" s="77"/>
      <c r="AX41" s="103" t="s">
        <v>4</v>
      </c>
      <c r="AY41" s="163">
        <v>20</v>
      </c>
      <c r="AZ41" s="163">
        <v>20</v>
      </c>
      <c r="BA41" s="163">
        <v>20</v>
      </c>
      <c r="BB41" s="163">
        <v>20</v>
      </c>
      <c r="BC41" s="163">
        <v>20</v>
      </c>
      <c r="BD41" s="163">
        <v>20</v>
      </c>
      <c r="BE41" s="163">
        <v>20</v>
      </c>
      <c r="BF41" s="163">
        <v>20</v>
      </c>
      <c r="BG41" s="163">
        <v>20</v>
      </c>
      <c r="BH41" s="163">
        <v>20</v>
      </c>
      <c r="BI41" s="163">
        <v>20</v>
      </c>
      <c r="BJ41" s="163">
        <v>20</v>
      </c>
      <c r="BK41" s="163">
        <v>50</v>
      </c>
      <c r="BL41" s="163">
        <v>50</v>
      </c>
      <c r="BM41" s="163"/>
      <c r="BN41" s="163"/>
      <c r="BO41" s="163"/>
      <c r="BP41" s="163"/>
      <c r="BQ41" s="163">
        <v>20</v>
      </c>
      <c r="BR41" s="163">
        <v>20</v>
      </c>
      <c r="BS41" s="163">
        <v>20</v>
      </c>
      <c r="BT41" s="163">
        <v>20</v>
      </c>
      <c r="BU41" s="163">
        <v>50</v>
      </c>
      <c r="BV41" s="163"/>
      <c r="BW41" s="170" t="s">
        <v>226</v>
      </c>
    </row>
    <row r="42" spans="1:89" ht="55" customHeight="1">
      <c r="A42" s="156" t="s">
        <v>227</v>
      </c>
      <c r="B42" s="156">
        <v>20</v>
      </c>
      <c r="C42" s="156">
        <v>20</v>
      </c>
      <c r="D42" s="156">
        <v>20</v>
      </c>
      <c r="E42" s="157">
        <v>20</v>
      </c>
      <c r="F42" s="156">
        <f>IF(AF42&gt;BC43,BC42,BC41)</f>
        <v>100</v>
      </c>
      <c r="G42" s="156">
        <f>IF(AF42&gt;BD43,BD42,BD41)</f>
        <v>100</v>
      </c>
      <c r="H42" s="156">
        <f>IF(AI42&gt;BE43,BE42,BE41)</f>
        <v>100</v>
      </c>
      <c r="I42" s="156">
        <f>IF(AI42&gt;BF43,BF42,BF41)</f>
        <v>100</v>
      </c>
      <c r="J42" s="156">
        <f>IF(AI42&gt;BG43,BG42,BG41)</f>
        <v>100</v>
      </c>
      <c r="K42" s="156">
        <f>IF(AI42&gt;BH43,BH42,BH41)</f>
        <v>150</v>
      </c>
      <c r="L42" s="156">
        <f>IF(AI42&gt;BI43,BI42,BI41)</f>
        <v>150</v>
      </c>
      <c r="M42" s="156">
        <f>IF(AI42&gt;BJ43,BJ42,BJ41)</f>
        <v>100</v>
      </c>
      <c r="N42" s="156">
        <f>IF(AI42&gt;BK43,BK42,BK41)</f>
        <v>150</v>
      </c>
      <c r="O42" s="156"/>
      <c r="P42" s="156"/>
      <c r="Q42" s="156"/>
      <c r="R42" s="156"/>
      <c r="S42" s="156"/>
      <c r="T42" s="156">
        <f>BQ41</f>
        <v>20</v>
      </c>
      <c r="U42" s="156">
        <f t="shared" ref="U42:X42" si="14">BR41</f>
        <v>20</v>
      </c>
      <c r="V42" s="156">
        <f t="shared" si="14"/>
        <v>20</v>
      </c>
      <c r="W42" s="156">
        <f t="shared" si="14"/>
        <v>20</v>
      </c>
      <c r="X42" s="156">
        <f t="shared" si="14"/>
        <v>50</v>
      </c>
      <c r="Y42" s="156">
        <v>200</v>
      </c>
      <c r="Z42" s="158">
        <f>SUM(B42:Y42)</f>
        <v>1460</v>
      </c>
      <c r="AA42" s="159"/>
      <c r="AB42" s="160"/>
      <c r="AC42" s="161">
        <v>394094</v>
      </c>
      <c r="AD42" s="161">
        <f>IF(AC42&gt;AY50,AY50,AC42)</f>
        <v>394094</v>
      </c>
      <c r="AE42" s="162">
        <f>IF(AD42&lt;=AY45,0,IF(AD42&lt;=AY46,AZ46,IF(AD42&lt;=AY47,(AD42-AY46)/100000*AZ47+AZ46,IF(AD42&lt;=AY48,(AD42-AY47)/100000*AZ48+AZ47+AZ46,IF(AD42&lt;=AY49,(AD42-AY48)/100000*AZ49+AZ48+AZ47+AZ46,IF(AD42&lt;=AY50,(AD42-AY49)/100000*AZ50+AZ49+AZ48+AZ47+AZ46))))))</f>
        <v>1414.5639999999999</v>
      </c>
      <c r="AF42" s="161">
        <v>55956</v>
      </c>
      <c r="AG42" s="161">
        <f>IF(AF42&gt;BD50,BD50,AF42)</f>
        <v>55956</v>
      </c>
      <c r="AH42" s="162">
        <f>IF(AG42&lt;=BD45,0,IF(AG42&lt;=BD46,BE46,IF(AG42&lt;=BD47,(AG42-BD46)/100000*BE47+BE46,IF(AG42&lt;=BD48,(AG42-BD47)/100000*BE48+BE47+BE46,IF(AG42&lt;=BD49,(AG42-BD48)/100000*BE49+BE48+BE47+BE46,IF(AG42&lt;=BD50,(AG42-BD49)/100000*BE50+BE49+BE48+BE47+BE46))))))</f>
        <v>50</v>
      </c>
      <c r="AI42" s="161">
        <v>161006</v>
      </c>
      <c r="AJ42" s="161">
        <f>IF(AI42&gt;BG52,BG52,AI42)</f>
        <v>161006</v>
      </c>
      <c r="AK42" s="162">
        <f>IF(AJ42&lt;=BG45,0,IF(AJ42&lt;=BG46,BH46,IF(AJ42&lt;=BG47,(AJ42-BG46)/100000*BH47+BH46,IF(AJ42&lt;=BG48,(AJ42-BG47)/100000*BH48+BH47+BH46,IF(AJ42&lt;=BG49,(AJ42-BG48)/100000*BH49+BH48+BH47+BH46,IF(AJ42&lt;=BG50,(AJ42-BG49)/100000*BH50+BH49+BH48+BH47+BH46,IF(AJ42&lt;=BG51,(AJ42-BG50)/100000*BH51+BH50+BH49+BH48+BH47+BH46,IF(AJ42&lt;=BG52,(AJ42-BG51)/100000*BH52+BH51+BH50+BH49+BH48+BH47+BH46,IF(AJ42&lt;=BG53,(AJ42-BG52)/100000*BH53+BH52+BH51+BH50+BH49+BH48+BH47+BH46)))))))))</f>
        <v>141.50900000000001</v>
      </c>
      <c r="AL42" s="162">
        <f>AE42+AH42+AK42</f>
        <v>1606.0729999999999</v>
      </c>
      <c r="AM42" s="161"/>
      <c r="AN42" s="161"/>
      <c r="AO42" s="82"/>
      <c r="AP42" s="82"/>
      <c r="AQ42" s="82"/>
      <c r="AR42" s="82"/>
      <c r="AS42" s="82"/>
      <c r="AT42" s="82"/>
      <c r="AU42" s="82"/>
      <c r="AV42" s="82"/>
      <c r="AW42" s="77"/>
      <c r="AX42" s="103" t="s">
        <v>5</v>
      </c>
      <c r="AY42" s="163">
        <v>100</v>
      </c>
      <c r="AZ42" s="163">
        <v>200</v>
      </c>
      <c r="BA42" s="163">
        <v>300</v>
      </c>
      <c r="BB42" s="163">
        <v>300</v>
      </c>
      <c r="BC42" s="163">
        <v>100</v>
      </c>
      <c r="BD42" s="163">
        <v>100</v>
      </c>
      <c r="BE42" s="163">
        <v>100</v>
      </c>
      <c r="BF42" s="163">
        <v>100</v>
      </c>
      <c r="BG42" s="163">
        <v>100</v>
      </c>
      <c r="BH42" s="163">
        <v>150</v>
      </c>
      <c r="BI42" s="163">
        <v>150</v>
      </c>
      <c r="BJ42" s="163">
        <v>100</v>
      </c>
      <c r="BK42" s="163">
        <v>150</v>
      </c>
      <c r="BL42" s="163">
        <v>200</v>
      </c>
      <c r="BM42" s="163">
        <v>150</v>
      </c>
      <c r="BN42" s="163">
        <v>150</v>
      </c>
      <c r="BO42" s="163">
        <v>150</v>
      </c>
      <c r="BP42" s="163">
        <v>150</v>
      </c>
      <c r="BQ42" s="163">
        <v>50</v>
      </c>
      <c r="BR42" s="163">
        <v>50</v>
      </c>
      <c r="BS42" s="163">
        <v>50</v>
      </c>
      <c r="BT42" s="163">
        <v>50</v>
      </c>
      <c r="BU42" s="163">
        <v>100</v>
      </c>
      <c r="BV42" s="163" t="s">
        <v>228</v>
      </c>
      <c r="BW42" s="171"/>
    </row>
    <row r="43" spans="1:89" ht="55" customHeight="1">
      <c r="A43" s="156" t="s">
        <v>229</v>
      </c>
      <c r="B43" s="156">
        <f>IF(AD43&gt;AY43,AY42,AY41)</f>
        <v>20</v>
      </c>
      <c r="C43" s="156"/>
      <c r="D43" s="156"/>
      <c r="E43" s="156"/>
      <c r="F43" s="156">
        <f>IF(AF43&gt;BC43,BC42,BC41)</f>
        <v>100</v>
      </c>
      <c r="G43" s="156">
        <f>IF(AF43&gt;BD43,BD42,BD41)</f>
        <v>100</v>
      </c>
      <c r="H43" s="156">
        <f>IF(AI43&gt;BE43,BE42,BE41)</f>
        <v>100</v>
      </c>
      <c r="I43" s="156">
        <f>IF(AI43&gt;BF43,BF42,BF41)</f>
        <v>100</v>
      </c>
      <c r="J43" s="156">
        <f>IF(AI43&gt;BG43,BG42,BG41)</f>
        <v>100</v>
      </c>
      <c r="K43" s="156">
        <f>IF(AI43&gt;BH43,BH42,BH41)</f>
        <v>150</v>
      </c>
      <c r="L43" s="156">
        <f>IF(AI43&gt;BI43,BI42,BI41)</f>
        <v>150</v>
      </c>
      <c r="M43" s="156">
        <f>IF(AI43&gt;BJ43,BJ42,BJ41)</f>
        <v>100</v>
      </c>
      <c r="N43" s="156">
        <f>IF(AI43&gt;BK43,BK42,BK41)</f>
        <v>150</v>
      </c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8">
        <f>SUM(B43:Y43)</f>
        <v>1070</v>
      </c>
      <c r="AA43" s="159"/>
      <c r="AB43" s="160"/>
      <c r="AC43" s="161">
        <v>0</v>
      </c>
      <c r="AD43" s="161">
        <f>IF(AC43&gt;AY50,AY50,AC43)</f>
        <v>0</v>
      </c>
      <c r="AE43" s="162">
        <f>IF(AD43&lt;=AY45,0,IF(AD43&lt;=AY46,AZ46,IF(AD43&lt;=AY47,(AD43-AY46)/100000*AZ47+AZ46,IF(AD43&lt;=AY48,(AD43-AY47)/100000*AZ48+AZ47+AZ46,IF(AD43&lt;=AY49,(AD43-AY48)/100000*AZ49+AZ48+AZ47+AZ46,IF(AD43&lt;=AY50,(AD43-AY49)/100000*AZ50+AZ49+AZ48+AZ47+AZ46))))))</f>
        <v>0</v>
      </c>
      <c r="AF43" s="161">
        <v>191089</v>
      </c>
      <c r="AG43" s="161">
        <f>IF(AF43&gt;BD50,BD50,AF43)</f>
        <v>191089</v>
      </c>
      <c r="AH43" s="162">
        <f>IF(AG43&lt;=BD45,0,IF(AG43&lt;=BD46,BE46,IF(AG43&lt;=BD47,(AG43-BD46)/100000*BE47+BE46,IF(AG43&lt;=BD48,(AG43-BD47)/100000*BE48+BE47+BE46,IF(AG43&lt;=BD49,(AG43-BD48)/100000*BE49+BE48+BE47+BE46,IF(AG43&lt;=BD50,(AG43-BD49)/100000*BE50+BE49+BE48+BE47+BE46))))))</f>
        <v>323.267</v>
      </c>
      <c r="AI43" s="161">
        <v>333543</v>
      </c>
      <c r="AJ43" s="161">
        <f>IF(AI43&gt;BG52,BG52,AI43)</f>
        <v>333543</v>
      </c>
      <c r="AK43" s="162">
        <f>IF(AJ43&lt;=BG45,0,IF(AJ43&lt;=BG46,BH46,IF(AJ43&lt;=BG47,(AJ43-BG46)/100000*BH47+BH46,IF(AJ43&lt;=BG48,(AJ43-BG47)/100000*BH48+BH47+BH46,IF(AJ43&lt;=BG49,(AJ43-BG48)/100000*BH49+BH48+BH47+BH46,IF(AJ43&lt;=BG50,(AJ43-BG49)/100000*BH50+BH49+BH48+BH47+BH46,IF(AJ43&lt;=BG51,(AJ43-BG50)/100000*BH51+BH50+BH49+BH48+BH47+BH46,IF(AJ43&lt;=BG52,(AJ43-BG51)/100000*BH52+BH51+BH50+BH49+BH48+BH47+BH46,IF(AJ43&lt;=BG53,(AJ43-BG52)/100000*BH53+BH52+BH51+BH50+BH49+BH48+BH47+BH46)))))))))</f>
        <v>467.08600000000001</v>
      </c>
      <c r="AL43" s="162">
        <f>AE43+AH43+AK43</f>
        <v>790.35300000000007</v>
      </c>
      <c r="AM43" s="161"/>
      <c r="AN43" s="161"/>
      <c r="AO43" s="82"/>
      <c r="AP43" s="82"/>
      <c r="AQ43" s="82"/>
      <c r="AR43" s="82"/>
      <c r="AS43" s="82"/>
      <c r="AT43" s="82"/>
      <c r="AU43" s="82"/>
      <c r="AV43" s="82"/>
      <c r="AW43" s="101"/>
      <c r="AX43" s="103" t="s">
        <v>6</v>
      </c>
      <c r="AY43" s="110">
        <v>30000</v>
      </c>
      <c r="AZ43" s="110">
        <v>30000</v>
      </c>
      <c r="BA43" s="110">
        <v>30000</v>
      </c>
      <c r="BB43" s="110">
        <v>30000</v>
      </c>
      <c r="BC43" s="110">
        <v>30000</v>
      </c>
      <c r="BD43" s="110">
        <v>30000</v>
      </c>
      <c r="BE43" s="110">
        <v>80000</v>
      </c>
      <c r="BF43" s="110">
        <v>80000</v>
      </c>
      <c r="BG43" s="110">
        <v>80000</v>
      </c>
      <c r="BH43" s="110">
        <v>80000</v>
      </c>
      <c r="BI43" s="110">
        <v>80000</v>
      </c>
      <c r="BJ43" s="110">
        <v>80000</v>
      </c>
      <c r="BK43" s="110">
        <v>80000</v>
      </c>
      <c r="BL43" s="110">
        <v>80000</v>
      </c>
      <c r="BM43" s="172" t="s">
        <v>230</v>
      </c>
      <c r="BN43" s="173"/>
      <c r="BO43" s="173"/>
      <c r="BP43" s="173"/>
      <c r="BQ43" s="172" t="s">
        <v>231</v>
      </c>
      <c r="BR43" s="173"/>
      <c r="BS43" s="173"/>
      <c r="BT43" s="173"/>
      <c r="BU43" s="174"/>
      <c r="BV43" s="164" t="s">
        <v>230</v>
      </c>
      <c r="BW43" s="163"/>
    </row>
    <row r="44" spans="1:89" ht="55" customHeight="1">
      <c r="A44" s="156" t="s">
        <v>232</v>
      </c>
      <c r="B44" s="156"/>
      <c r="C44" s="156"/>
      <c r="D44" s="156"/>
      <c r="E44" s="156"/>
      <c r="F44" s="156">
        <f>IF(AF44&gt;BC43,BC42,BC41)</f>
        <v>100</v>
      </c>
      <c r="G44" s="156">
        <f>IF(AF44&gt;BD43,BD42,BD41)</f>
        <v>100</v>
      </c>
      <c r="H44" s="156">
        <f>IF(AI44&gt;BE43,BE42,BE41)</f>
        <v>100</v>
      </c>
      <c r="I44" s="156">
        <f>IF(AI44&gt;BF43,BF42,BF41)</f>
        <v>100</v>
      </c>
      <c r="J44" s="156">
        <f>IF(AI44&gt;BG43,BG42,BG41)</f>
        <v>100</v>
      </c>
      <c r="K44" s="156">
        <f>IF(AI44&gt;BH43,BH42,BH41)</f>
        <v>150</v>
      </c>
      <c r="L44" s="156">
        <f>IF(AI44&gt;BI43,BI42,BI41)</f>
        <v>150</v>
      </c>
      <c r="M44" s="156">
        <f>IF(AI44&gt;BJ43,BJ42,BJ41)</f>
        <v>100</v>
      </c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8">
        <f>SUM(B44:Y44)</f>
        <v>900</v>
      </c>
      <c r="AA44" s="159"/>
      <c r="AB44" s="160"/>
      <c r="AC44" s="161">
        <v>0</v>
      </c>
      <c r="AD44" s="161">
        <f>IF(AC44&gt;AY50,AY50,AC44)</f>
        <v>0</v>
      </c>
      <c r="AE44" s="162">
        <f>IF(AD44&lt;=AY45,AZ45,IF(AD44&lt;=AY46,AZ46,IF(AD44&lt;=AY47,(AD44-AY46)/100000*AZ47+AZ46,IF(AD44&lt;=AY48,(AD44-AY47)/100000*AZ48+AZ47+AZ46,IF(AD44&lt;=AY49,(AD44-AY48)/100000*AZ49+AZ48+AZ47+AZ46,IF(AD44&lt;=AY50,(AD44-AY49)/100000*AZ50+AZ49+AZ48+AZ47+AZ46))))))</f>
        <v>0</v>
      </c>
      <c r="AF44" s="161">
        <v>154382</v>
      </c>
      <c r="AG44" s="161">
        <f>IF(AF44&gt;BD50,BD50,AF44)</f>
        <v>154382</v>
      </c>
      <c r="AH44" s="162">
        <f>IF(AG44&lt;=BD45,0,IF(AG44&lt;=BD46,BE46,IF(AG44&lt;=BD47,(AG44-BD46)/100000*BE47+BE46,IF(AG44&lt;=BD48,(AG44-BD47)/100000*BE48+BE47+BE46,IF(AG44&lt;=BD49,(AG44-BD48)/100000*BE49+BE48+BE47+BE46,IF(AG44&lt;=BD50,(AG44-BD49)/100000*BE50+BE49+BE48+BE47+BE46))))))</f>
        <v>213.14599999999999</v>
      </c>
      <c r="AI44" s="161">
        <v>386217</v>
      </c>
      <c r="AJ44" s="161">
        <f>IF(AI44&gt;BG52,BG52,AI44)</f>
        <v>386217</v>
      </c>
      <c r="AK44" s="162">
        <f>IF(AJ44&lt;=BG45,0,IF(AJ44&lt;=BG46,BH46,IF(AJ44&lt;=BG47,(AJ44-BG46)/100000*BH47+BH46,IF(AJ44&lt;=BG48,(AJ44-BG47)/100000*BH48+BH47+BH46,IF(AJ44&lt;=BG49,(AJ44-BG48)/100000*BH49+BH48+BH47+BH46,IF(AJ44&lt;=BG50,(AJ44-BG49)/100000*BH50+BH49+BH48+BH47+BH46,IF(AJ44&lt;=BG51,(AJ44-BG50)/100000*BH51+BH50+BH49+BH48+BH47+BH46,IF(AJ44&lt;=BG52,(AJ44-BG51)/100000*BH52+BH51+BH50+BH49+BH48+BH47+BH46,IF(AJ44&lt;=BG53,(AJ44-BG52)/100000*BH53+BH52+BH51+BH50+BH49+BH48+BH47+BH46)))))))))</f>
        <v>572.43399999999997</v>
      </c>
      <c r="AL44" s="162">
        <f>AE44+AH44+AK44</f>
        <v>785.57999999999993</v>
      </c>
      <c r="AM44" s="161"/>
      <c r="AN44" s="161"/>
      <c r="AO44" s="82"/>
      <c r="AP44" s="82"/>
      <c r="AQ44" s="82"/>
      <c r="AR44" s="82"/>
      <c r="AS44" s="82"/>
      <c r="AT44" s="82"/>
      <c r="AU44" s="82"/>
      <c r="AV44" s="82"/>
      <c r="AW44" s="101"/>
      <c r="AX44" s="103" t="s">
        <v>7</v>
      </c>
      <c r="AY44" s="163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3"/>
      <c r="BT44" s="163"/>
      <c r="BU44" s="163"/>
      <c r="BV44" s="163"/>
      <c r="BW44" s="163"/>
    </row>
    <row r="45" spans="1:89" ht="5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B45" s="77"/>
      <c r="AC45" s="77"/>
      <c r="AE45" s="4"/>
      <c r="AF45" s="77"/>
      <c r="AH45" s="4"/>
      <c r="AI45" s="4"/>
      <c r="AJ45" s="4"/>
      <c r="AK45" s="77"/>
      <c r="AL45" s="77"/>
      <c r="AM45" s="82"/>
      <c r="AN45" s="82"/>
      <c r="AO45" s="82"/>
      <c r="AP45" s="82"/>
      <c r="AQ45" s="82"/>
      <c r="AR45" s="82"/>
      <c r="AS45" s="82"/>
      <c r="AT45" s="82"/>
      <c r="AU45" s="101"/>
      <c r="AV45" s="101"/>
      <c r="AW45" s="101"/>
      <c r="AX45" s="113" t="s">
        <v>169</v>
      </c>
      <c r="AY45" s="110">
        <v>50000</v>
      </c>
      <c r="AZ45" s="112">
        <v>0</v>
      </c>
      <c r="BA45" s="112"/>
      <c r="BB45" s="112"/>
      <c r="BC45" s="163"/>
      <c r="BD45" s="110">
        <v>50000</v>
      </c>
      <c r="BE45" s="112">
        <v>0</v>
      </c>
      <c r="BG45" s="163">
        <v>50000</v>
      </c>
      <c r="BH45" s="163">
        <v>0</v>
      </c>
      <c r="BI45" s="114"/>
      <c r="BJ45" s="115"/>
    </row>
    <row r="46" spans="1:89" ht="5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B46" s="77"/>
      <c r="AC46" s="77"/>
      <c r="AE46" s="4"/>
      <c r="AF46" s="77"/>
      <c r="AH46" s="4"/>
      <c r="AI46" s="4"/>
      <c r="AJ46" s="4"/>
      <c r="AK46" s="77"/>
      <c r="AL46" s="77"/>
      <c r="AM46" s="3"/>
      <c r="AN46" s="3"/>
      <c r="AU46" s="101"/>
      <c r="AV46" s="101"/>
      <c r="AW46" s="101"/>
      <c r="AX46" s="113"/>
      <c r="AY46" s="110">
        <v>100000</v>
      </c>
      <c r="AZ46" s="112">
        <v>50</v>
      </c>
      <c r="BA46" s="112"/>
      <c r="BB46" s="112"/>
      <c r="BC46" s="163"/>
      <c r="BD46" s="110">
        <v>100000</v>
      </c>
      <c r="BE46" s="112">
        <v>50</v>
      </c>
      <c r="BG46" s="110">
        <v>100000</v>
      </c>
      <c r="BH46" s="163">
        <v>50</v>
      </c>
      <c r="BI46" s="114"/>
      <c r="BJ46" s="115"/>
    </row>
    <row r="47" spans="1:89" ht="5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L47" s="77"/>
      <c r="AM47" s="3"/>
      <c r="AN47" s="3"/>
      <c r="AU47" s="101"/>
      <c r="AV47" s="101"/>
      <c r="AW47" s="101"/>
      <c r="AX47" s="113" t="s">
        <v>233</v>
      </c>
      <c r="AY47" s="163">
        <v>200000</v>
      </c>
      <c r="AZ47" s="116">
        <v>300</v>
      </c>
      <c r="BA47" s="113"/>
      <c r="BB47" s="113"/>
      <c r="BC47" s="163"/>
      <c r="BD47" s="163">
        <v>200000</v>
      </c>
      <c r="BE47" s="152">
        <v>300</v>
      </c>
      <c r="BG47" s="163">
        <v>200000</v>
      </c>
      <c r="BH47" s="118">
        <v>150</v>
      </c>
      <c r="BI47" s="119"/>
      <c r="BJ47" s="120"/>
      <c r="CD47" s="161"/>
      <c r="CE47" s="175" t="s">
        <v>57</v>
      </c>
      <c r="CF47" s="175"/>
      <c r="CG47" s="175" t="s">
        <v>58</v>
      </c>
      <c r="CH47" s="175"/>
      <c r="CI47" s="175" t="s">
        <v>59</v>
      </c>
      <c r="CJ47" s="175"/>
    </row>
    <row r="48" spans="1:89" ht="5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L48" s="77"/>
      <c r="AM48" s="3"/>
      <c r="AN48" s="3"/>
      <c r="AU48" s="101"/>
      <c r="AV48" s="101"/>
      <c r="AW48" s="101"/>
      <c r="AX48" s="113" t="s">
        <v>10</v>
      </c>
      <c r="AY48" s="163">
        <v>300000</v>
      </c>
      <c r="AZ48" s="152">
        <v>500</v>
      </c>
      <c r="BA48" s="165"/>
      <c r="BB48" s="165"/>
      <c r="BC48" s="163"/>
      <c r="BD48" s="163">
        <v>300000</v>
      </c>
      <c r="BE48" s="152">
        <v>500</v>
      </c>
      <c r="BG48" s="163">
        <v>300000</v>
      </c>
      <c r="BH48" s="122">
        <v>200</v>
      </c>
      <c r="BI48" s="123"/>
      <c r="BJ48" s="124"/>
      <c r="CD48" s="161"/>
      <c r="CE48" s="161" t="s">
        <v>175</v>
      </c>
      <c r="CF48" s="161" t="s">
        <v>176</v>
      </c>
      <c r="CG48" s="161" t="s">
        <v>175</v>
      </c>
      <c r="CH48" s="161" t="s">
        <v>176</v>
      </c>
      <c r="CI48" s="161" t="s">
        <v>175</v>
      </c>
      <c r="CJ48" s="161" t="s">
        <v>176</v>
      </c>
    </row>
    <row r="49" spans="1:88" ht="5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L49" s="77"/>
      <c r="AM49" s="3"/>
      <c r="AN49" s="3"/>
      <c r="AU49" s="101"/>
      <c r="AV49" s="101"/>
      <c r="AW49" s="101"/>
      <c r="AX49" s="113" t="s">
        <v>11</v>
      </c>
      <c r="AY49" s="163">
        <v>400000</v>
      </c>
      <c r="AZ49" s="152">
        <v>600</v>
      </c>
      <c r="BA49" s="165"/>
      <c r="BB49" s="165"/>
      <c r="BC49" s="163"/>
      <c r="BD49" s="163">
        <v>400000</v>
      </c>
      <c r="BE49" s="152">
        <v>400</v>
      </c>
      <c r="BG49" s="163">
        <v>400000</v>
      </c>
      <c r="BH49" s="122">
        <v>200</v>
      </c>
      <c r="BI49" s="123"/>
      <c r="BJ49" s="124"/>
      <c r="CD49" s="165" t="s">
        <v>169</v>
      </c>
      <c r="CE49" s="163">
        <v>20000</v>
      </c>
      <c r="CF49" s="163">
        <v>50</v>
      </c>
      <c r="CG49" s="163">
        <v>30000</v>
      </c>
      <c r="CH49" s="163">
        <v>50</v>
      </c>
      <c r="CI49" s="163">
        <v>80000</v>
      </c>
      <c r="CJ49" s="163">
        <v>50</v>
      </c>
    </row>
    <row r="50" spans="1:88" ht="5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L50" s="77"/>
      <c r="AM50" s="3"/>
      <c r="AN50" s="3"/>
      <c r="AU50" s="101"/>
      <c r="AV50" s="101"/>
      <c r="AW50" s="101"/>
      <c r="AX50" s="113" t="s">
        <v>12</v>
      </c>
      <c r="AY50" s="166">
        <v>500000</v>
      </c>
      <c r="AZ50" s="152">
        <v>400</v>
      </c>
      <c r="BA50" s="165"/>
      <c r="BB50" s="165"/>
      <c r="BC50" s="163"/>
      <c r="BD50" s="166">
        <v>500000</v>
      </c>
      <c r="BE50" s="152">
        <v>300</v>
      </c>
      <c r="BG50" s="166">
        <v>500000</v>
      </c>
      <c r="BH50" s="122">
        <v>200</v>
      </c>
      <c r="BI50" s="123"/>
      <c r="BJ50" s="124"/>
      <c r="CD50" s="165" t="s">
        <v>172</v>
      </c>
      <c r="CE50" s="163">
        <v>120000</v>
      </c>
      <c r="CF50" s="152">
        <v>300</v>
      </c>
      <c r="CG50" s="163">
        <v>130000</v>
      </c>
      <c r="CH50" s="152">
        <v>300</v>
      </c>
      <c r="CI50" s="163">
        <v>180000</v>
      </c>
      <c r="CJ50" s="152">
        <v>150</v>
      </c>
    </row>
    <row r="51" spans="1:88" ht="5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L51" s="77"/>
      <c r="AM51" s="3"/>
      <c r="AN51" s="3"/>
      <c r="AU51" s="101"/>
      <c r="AV51" s="101"/>
      <c r="AW51" s="101"/>
      <c r="AX51" s="113"/>
      <c r="AY51" s="113"/>
      <c r="AZ51" s="113"/>
      <c r="BA51" s="165"/>
      <c r="BB51" s="165"/>
      <c r="BC51" s="163"/>
      <c r="BD51" s="163"/>
      <c r="BE51" s="163"/>
      <c r="BF51" s="163"/>
      <c r="BG51" s="163">
        <v>600000</v>
      </c>
      <c r="BH51" s="122">
        <v>400</v>
      </c>
      <c r="BI51" s="123"/>
      <c r="BJ51" s="124"/>
      <c r="CD51" s="165" t="s">
        <v>9</v>
      </c>
      <c r="CE51" s="163">
        <v>220000</v>
      </c>
      <c r="CF51" s="152">
        <v>500</v>
      </c>
      <c r="CG51" s="163">
        <v>230000</v>
      </c>
      <c r="CH51" s="152">
        <v>500</v>
      </c>
      <c r="CI51" s="163">
        <v>280000</v>
      </c>
      <c r="CJ51" s="152">
        <v>200</v>
      </c>
    </row>
    <row r="52" spans="1:88" ht="5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L52" s="77"/>
      <c r="AM52" s="3"/>
      <c r="AN52" s="3"/>
      <c r="AU52" s="101"/>
      <c r="AV52" s="101"/>
      <c r="AW52" s="101"/>
      <c r="AX52" s="113"/>
      <c r="AY52" s="163"/>
      <c r="AZ52" s="163"/>
      <c r="BA52" s="165"/>
      <c r="BB52" s="165"/>
      <c r="BC52" s="163"/>
      <c r="BD52" s="163"/>
      <c r="BE52" s="163"/>
      <c r="BF52" s="163"/>
      <c r="BG52" s="163">
        <v>700000</v>
      </c>
      <c r="BH52" s="122">
        <v>200</v>
      </c>
      <c r="BI52" s="123"/>
      <c r="BJ52" s="124"/>
      <c r="CD52" s="165" t="s">
        <v>10</v>
      </c>
      <c r="CE52" s="163">
        <v>320000</v>
      </c>
      <c r="CF52" s="152">
        <v>600</v>
      </c>
      <c r="CG52" s="163">
        <v>330000</v>
      </c>
      <c r="CH52" s="152">
        <v>400</v>
      </c>
      <c r="CI52" s="163">
        <v>380000</v>
      </c>
      <c r="CJ52" s="152">
        <v>200</v>
      </c>
    </row>
    <row r="53" spans="1:88" ht="5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L53" s="77"/>
      <c r="AM53" s="3"/>
      <c r="AN53" s="3"/>
      <c r="AU53" s="101"/>
      <c r="AV53" s="101"/>
      <c r="AW53" s="101"/>
      <c r="AX53" s="113"/>
      <c r="AY53" s="163"/>
      <c r="AZ53" s="163"/>
      <c r="BA53" s="165"/>
      <c r="BB53" s="165"/>
      <c r="BC53" s="163"/>
      <c r="BD53" s="163"/>
      <c r="BE53" s="163"/>
      <c r="BF53" s="163"/>
      <c r="BG53" s="163"/>
      <c r="BH53" s="163"/>
      <c r="BI53" s="163"/>
      <c r="BJ53" s="163"/>
      <c r="CD53" s="165" t="s">
        <v>11</v>
      </c>
      <c r="CE53" s="163">
        <v>420000</v>
      </c>
      <c r="CF53" s="152">
        <v>400</v>
      </c>
      <c r="CG53" s="163">
        <v>430000</v>
      </c>
      <c r="CH53" s="152">
        <v>300</v>
      </c>
      <c r="CI53" s="163">
        <v>480000</v>
      </c>
      <c r="CJ53" s="152">
        <v>200</v>
      </c>
    </row>
    <row r="54" spans="1:88" ht="5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AL54" s="77"/>
      <c r="AM54" s="3"/>
      <c r="AN54" s="3"/>
      <c r="AU54" s="101"/>
      <c r="AV54" s="101"/>
      <c r="AW54" s="22"/>
      <c r="AX54" s="22">
        <f>SUM(AZ45:AZ53)</f>
        <v>1850</v>
      </c>
      <c r="BC54" s="22">
        <f>SUM(BE45:BE53)</f>
        <v>1550</v>
      </c>
      <c r="BF54" s="22">
        <f>SUM(BH45:BH53)</f>
        <v>1400</v>
      </c>
      <c r="BV54" s="3"/>
      <c r="BW54" s="3"/>
      <c r="CB54" s="165" t="s">
        <v>12</v>
      </c>
      <c r="CC54" s="166">
        <v>500000</v>
      </c>
      <c r="CD54" s="152">
        <v>200</v>
      </c>
      <c r="CE54" s="166">
        <v>500000</v>
      </c>
      <c r="CF54" s="152">
        <v>150</v>
      </c>
      <c r="CG54" s="163">
        <v>580000</v>
      </c>
      <c r="CH54" s="152">
        <v>400</v>
      </c>
    </row>
    <row r="55" spans="1:88" ht="5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AL55" s="77"/>
      <c r="AM55" s="3"/>
      <c r="AN55" s="3"/>
      <c r="AU55" s="101"/>
      <c r="AV55" s="101"/>
      <c r="AW55" s="22"/>
      <c r="BV55" s="3"/>
      <c r="BW55" s="3"/>
      <c r="CB55" s="165" t="s">
        <v>13</v>
      </c>
      <c r="CC55" s="163"/>
      <c r="CD55" s="152"/>
      <c r="CE55" s="163"/>
      <c r="CF55" s="152"/>
      <c r="CG55" s="163">
        <v>680000</v>
      </c>
      <c r="CH55" s="152">
        <v>300</v>
      </c>
    </row>
    <row r="56" spans="1:88" ht="55" customHeight="1">
      <c r="AL56" s="77"/>
      <c r="AM56" s="3"/>
      <c r="AN56" s="3"/>
      <c r="AU56" s="101"/>
      <c r="AV56" s="101"/>
      <c r="AW56" s="22"/>
      <c r="BV56" s="3"/>
      <c r="BW56" s="3"/>
      <c r="CB56" s="165" t="s">
        <v>14</v>
      </c>
      <c r="CC56" s="163"/>
      <c r="CD56" s="152"/>
      <c r="CE56" s="163"/>
      <c r="CF56" s="152"/>
      <c r="CG56" s="166">
        <v>780000</v>
      </c>
      <c r="CH56" s="152">
        <v>200</v>
      </c>
    </row>
    <row r="57" spans="1:88" ht="55" customHeight="1">
      <c r="AM57" s="3"/>
      <c r="AN57" s="3"/>
      <c r="AU57" s="101"/>
      <c r="AV57" s="101"/>
      <c r="AW57" s="22"/>
      <c r="BV57" s="3"/>
      <c r="BW57" s="3"/>
    </row>
    <row r="58" spans="1:88" ht="55" customHeight="1">
      <c r="AM58" s="3"/>
      <c r="AN58" s="3"/>
      <c r="AU58" s="101"/>
      <c r="AV58" s="101"/>
      <c r="AW58" s="22"/>
      <c r="BU58" s="3"/>
      <c r="BV58" s="3"/>
      <c r="BW58" s="3"/>
    </row>
    <row r="59" spans="1:88" ht="64" customHeight="1">
      <c r="AM59" s="3"/>
      <c r="AN59" s="3"/>
      <c r="AU59" s="77"/>
      <c r="AV59" s="77"/>
      <c r="AW59" s="22"/>
      <c r="BU59" s="3"/>
      <c r="BV59" s="3"/>
      <c r="BW59" s="3"/>
    </row>
    <row r="60" spans="1:88" ht="81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D60" s="77"/>
      <c r="AE60" s="77"/>
      <c r="AG60" s="4"/>
      <c r="AH60" s="77"/>
      <c r="AJ60" s="4"/>
      <c r="AK60" s="77"/>
      <c r="AL60" s="77"/>
      <c r="AM60" s="77"/>
      <c r="AN60" s="77"/>
      <c r="AO60" s="77"/>
      <c r="AW60" s="77"/>
    </row>
    <row r="61" spans="1:88" ht="81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D61" s="77"/>
      <c r="AE61" s="77"/>
      <c r="AG61" s="4"/>
      <c r="AH61" s="77"/>
      <c r="AJ61" s="4"/>
      <c r="AK61" s="77"/>
      <c r="AL61" s="77"/>
      <c r="AM61" s="77"/>
      <c r="AN61" s="77"/>
      <c r="AO61" s="77"/>
      <c r="AW61" s="77"/>
    </row>
    <row r="62" spans="1:88" ht="81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D62" s="77"/>
      <c r="AE62" s="77"/>
      <c r="AG62" s="4"/>
      <c r="AH62" s="77"/>
      <c r="AJ62" s="4"/>
      <c r="AK62" s="77"/>
      <c r="AL62" s="77"/>
      <c r="AM62" s="77"/>
      <c r="AN62" s="77"/>
      <c r="AO62" s="77"/>
      <c r="AW62" s="77"/>
    </row>
    <row r="63" spans="1:88" ht="81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D63" s="77"/>
      <c r="AE63" s="77"/>
      <c r="AG63" s="4"/>
      <c r="AH63" s="77"/>
      <c r="AJ63" s="4"/>
      <c r="AK63" s="77"/>
      <c r="AL63" s="77"/>
      <c r="AM63" s="77"/>
      <c r="AN63" s="77"/>
      <c r="AO63" s="77"/>
      <c r="AW63" s="77"/>
    </row>
    <row r="64" spans="1:88" ht="81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D64" s="77"/>
      <c r="AE64" s="77"/>
      <c r="AG64" s="4"/>
      <c r="AH64" s="77"/>
      <c r="AJ64" s="4"/>
      <c r="AK64" s="77"/>
      <c r="AL64" s="77"/>
      <c r="AM64" s="77"/>
      <c r="AN64" s="77"/>
      <c r="AO64" s="77"/>
      <c r="AW64" s="77"/>
    </row>
    <row r="65" spans="1:49" ht="81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D65" s="77"/>
      <c r="AE65" s="77"/>
      <c r="AG65" s="4"/>
      <c r="AH65" s="77"/>
      <c r="AJ65" s="4"/>
      <c r="AK65" s="77"/>
      <c r="AL65" s="77"/>
      <c r="AM65" s="77"/>
      <c r="AN65" s="77"/>
      <c r="AO65" s="77"/>
      <c r="AW65" s="77"/>
    </row>
    <row r="66" spans="1:49" ht="81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D66" s="77"/>
      <c r="AE66" s="77"/>
      <c r="AG66" s="4"/>
      <c r="AH66" s="77"/>
      <c r="AJ66" s="4"/>
      <c r="AK66" s="77"/>
      <c r="AL66" s="77"/>
      <c r="AM66" s="77"/>
      <c r="AN66" s="77"/>
      <c r="AO66" s="77"/>
      <c r="AW66" s="77"/>
    </row>
    <row r="67" spans="1:49" ht="81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D67" s="77"/>
      <c r="AE67" s="77"/>
      <c r="AG67" s="4"/>
      <c r="AH67" s="77"/>
      <c r="AJ67" s="4"/>
      <c r="AK67" s="77"/>
      <c r="AL67" s="77"/>
      <c r="AM67" s="77"/>
      <c r="AN67" s="77"/>
      <c r="AO67" s="77"/>
      <c r="AW67" s="77"/>
    </row>
    <row r="68" spans="1:49" ht="81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</row>
    <row r="69" spans="1:49" ht="81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</row>
    <row r="70" spans="1:49" ht="81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P70" s="73"/>
      <c r="AQ70" s="73"/>
      <c r="AR70" s="73"/>
      <c r="AS70" s="73"/>
      <c r="AT70" s="73"/>
      <c r="AU70" s="73"/>
      <c r="AV70" s="73"/>
    </row>
    <row r="71" spans="1:49" ht="81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P71" s="73"/>
      <c r="AQ71" s="73"/>
      <c r="AR71" s="73"/>
      <c r="AS71" s="73"/>
      <c r="AT71" s="73"/>
      <c r="AU71" s="73"/>
      <c r="AV71" s="73"/>
    </row>
    <row r="72" spans="1:49" ht="81" customHeight="1">
      <c r="A72" s="156" t="s">
        <v>234</v>
      </c>
      <c r="B72" s="156">
        <f>IF(AD72&gt;AY20,AY19,AY18)</f>
        <v>20</v>
      </c>
      <c r="C72" s="156">
        <f>IF(AD72&gt;AZ20,AZ19,AZ18)</f>
        <v>20</v>
      </c>
      <c r="D72" s="156">
        <f>IF(AD72&gt;BA20,BA19,BA18)</f>
        <v>20</v>
      </c>
      <c r="E72" s="156"/>
      <c r="F72" s="156"/>
      <c r="G72" s="156">
        <f>IF(AG72&gt;BD20,BD19,BD18)</f>
        <v>300</v>
      </c>
      <c r="H72" s="156">
        <f>IF(AG72&gt;BE20,BE19,BE18)</f>
        <v>200</v>
      </c>
      <c r="I72" s="156"/>
      <c r="J72" s="156">
        <f>IF(AJ72&gt;BG20,BG19,BG18)</f>
        <v>50</v>
      </c>
      <c r="K72" s="156">
        <f>IF(AJ72&gt;BH20,BH19,BH18)</f>
        <v>50</v>
      </c>
      <c r="L72" s="156">
        <f>IF(AJ72&gt;BI20,BI19,BI18)</f>
        <v>50</v>
      </c>
      <c r="M72" s="156">
        <f>IF(AJ72&gt;BJ20,BJ19,BJ18)</f>
        <v>200</v>
      </c>
      <c r="N72" s="156"/>
      <c r="O72" s="156">
        <f>BL18</f>
        <v>20</v>
      </c>
      <c r="P72" s="156"/>
      <c r="Q72" s="156"/>
      <c r="R72" s="167">
        <f>BO18</f>
        <v>20</v>
      </c>
      <c r="S72" s="167">
        <f>BP18</f>
        <v>20</v>
      </c>
      <c r="T72" s="167">
        <f>BQ18</f>
        <v>20</v>
      </c>
      <c r="U72" s="156"/>
      <c r="V72" s="156"/>
      <c r="W72" s="156"/>
      <c r="X72" s="156"/>
      <c r="Y72" s="156"/>
      <c r="Z72" s="156"/>
      <c r="AA72" s="156"/>
      <c r="AB72" s="106">
        <f>SUM(B72:AA72)</f>
        <v>990</v>
      </c>
      <c r="AC72" s="161">
        <v>550</v>
      </c>
      <c r="AD72" s="161">
        <f>IF(AC72&gt;AY28,AY28,AC72)</f>
        <v>550</v>
      </c>
      <c r="AE72" s="162">
        <f>IF(AD72&lt;AY22,0,IF(AD72&lt;=AY23,AZ23,IF(AD72&lt;=AY24,(AD72-AY23)/100000*AZ24+AZ23,IF(AD72&lt;=AY25,(AD72-AY24)/100000*AZ25+AZ24+AZ23,IF(AD72&lt;=AY26,(AD72-AY25)/100000*AZ26+AZ25+AZ24+AZ23,IF(AD72&lt;=AY27,(AD72-AY26)/100000*AZ27+AZ26+AZ25+AZ24+AZ23,IF(AD72&lt;=AY28,(AD72-AY27)/80000*AZ28+AZ27+AZ26+AZ25+AZ24+AZ23)))))))</f>
        <v>0</v>
      </c>
      <c r="AF72" s="161">
        <v>39427</v>
      </c>
      <c r="AG72" s="161">
        <f>IF(AF72&gt;BD28,BD28,AF72)</f>
        <v>39427</v>
      </c>
      <c r="AH72" s="162">
        <f>IF(AG72&lt;BD22,0,IF(AG72&lt;=BD23,BE23,IF(AG72&lt;=BD24,(AG72-BD23)/100000*BE24+BE23,IF(AG72&lt;=BD25,(AG72-BD24)/100000*BE25+BE24+BE23,IF(AG72&lt;=BD26,(AG72-BD25)/100000*BE26+BE25+BE24+BE23,IF(AG72&lt;=BD27,(AG72-BD26)/100000*BE27+BE26+BE25+BE24+BE23,IF(AG72&lt;=BD28,(AG72-BD27)/70000*BE28+BE27+BE26+BE25+BE24+BE23)))))))</f>
        <v>78.281000000000006</v>
      </c>
      <c r="AI72" s="161">
        <v>223595.55</v>
      </c>
      <c r="AJ72" s="161">
        <f>IF(AI72&gt;BG30,BG30,AI72)</f>
        <v>223595.55</v>
      </c>
      <c r="AK72" s="162">
        <f>IF(AJ72&lt;BG22,0,IF(AJ72&lt;=BG23,BH23,IF(AJ72&lt;=BG24,(AJ72-BG23)/100000*BH24+BH23,IF(AJ72&lt;=BG25,(AJ72-BG24)/100000*BH25+BH24+BH23,IF(AJ72&lt;=BG26,(AJ72-BG25)/100000*BH26+BH25+BH24+BH23,IF(AJ72&lt;=BG27,(AJ72-BG26)/100000*BH27+BH26+BH25+BH24+BH23,IF(AJ72&lt;=BG28,(AJ72-BG27)/100000*BH28+BH27+BH26+BH25+BH24+BH23,IF(AJ72&lt;=BG29,(AJ72-BG28)/100000*BH29+BH28+BH27+BH26+BH25+BH24+BH23,IF(AJ72&lt;=BG30,(AJ72-BG29)/100000*BH30+BH29+BH28+BH27+BH26+BH25+BH24+BH23)))))))))</f>
        <v>287.19110000000001</v>
      </c>
      <c r="AL72" s="162">
        <f>AE72+AH72+AK72</f>
        <v>365.47210000000001</v>
      </c>
      <c r="AM72" s="168"/>
      <c r="AN72" s="168"/>
      <c r="AO72" s="169">
        <f>AL72+AN72+AM72</f>
        <v>365.47210000000001</v>
      </c>
      <c r="AP72" s="73"/>
      <c r="AQ72" s="73"/>
      <c r="AR72" s="73"/>
      <c r="AS72" s="73"/>
      <c r="AT72" s="73"/>
      <c r="AU72" s="73"/>
      <c r="AV72" s="73"/>
      <c r="AW72" s="73"/>
    </row>
    <row r="73" spans="1:49" ht="81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P73" s="73"/>
      <c r="AQ73" s="73"/>
      <c r="AR73" s="73"/>
      <c r="AS73" s="73"/>
      <c r="AT73" s="73"/>
      <c r="AU73" s="73"/>
      <c r="AV73" s="73"/>
    </row>
    <row r="74" spans="1:49" ht="81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P74" s="73"/>
      <c r="AQ74" s="73"/>
      <c r="AR74" s="73"/>
      <c r="AS74" s="73"/>
      <c r="AT74" s="73"/>
      <c r="AU74" s="73"/>
      <c r="AV74" s="73"/>
    </row>
    <row r="75" spans="1:49" ht="81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</row>
    <row r="76" spans="1:49" ht="81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</row>
    <row r="77" spans="1:49" ht="81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</row>
  </sheetData>
  <mergeCells count="90">
    <mergeCell ref="B3:D3"/>
    <mergeCell ref="E3:G3"/>
    <mergeCell ref="I3:L3"/>
    <mergeCell ref="M3:O3"/>
    <mergeCell ref="K9:Q9"/>
    <mergeCell ref="B1:R1"/>
    <mergeCell ref="B2:D2"/>
    <mergeCell ref="E2:G2"/>
    <mergeCell ref="I2:L2"/>
    <mergeCell ref="M2:O2"/>
    <mergeCell ref="B4:D4"/>
    <mergeCell ref="E4:G4"/>
    <mergeCell ref="I4:L4"/>
    <mergeCell ref="M4:O4"/>
    <mergeCell ref="B5:R5"/>
    <mergeCell ref="AJ6:AK6"/>
    <mergeCell ref="B9:E9"/>
    <mergeCell ref="F9:G9"/>
    <mergeCell ref="H9:J9"/>
    <mergeCell ref="R9:AF9"/>
    <mergeCell ref="B6:R6"/>
    <mergeCell ref="R10:S10"/>
    <mergeCell ref="T10:U10"/>
    <mergeCell ref="AJ10:AK10"/>
    <mergeCell ref="AX10:AX11"/>
    <mergeCell ref="R11:S11"/>
    <mergeCell ref="T11:U11"/>
    <mergeCell ref="BL12:BL14"/>
    <mergeCell ref="R13:S13"/>
    <mergeCell ref="T13:U13"/>
    <mergeCell ref="R14:S14"/>
    <mergeCell ref="T14:U14"/>
    <mergeCell ref="R12:S12"/>
    <mergeCell ref="T12:U12"/>
    <mergeCell ref="AX12:AX14"/>
    <mergeCell ref="BE12:BE13"/>
    <mergeCell ref="BF12:BF14"/>
    <mergeCell ref="BG12:BG14"/>
    <mergeCell ref="T16:V16"/>
    <mergeCell ref="BH12:BH14"/>
    <mergeCell ref="BI12:BI14"/>
    <mergeCell ref="BJ12:BJ14"/>
    <mergeCell ref="BK12:BK14"/>
    <mergeCell ref="B16:F16"/>
    <mergeCell ref="G16:I16"/>
    <mergeCell ref="J16:N16"/>
    <mergeCell ref="O16:Q16"/>
    <mergeCell ref="R16:S16"/>
    <mergeCell ref="BT16:BV16"/>
    <mergeCell ref="W16:Y16"/>
    <mergeCell ref="Z16:Z17"/>
    <mergeCell ref="AA16:AA17"/>
    <mergeCell ref="AB16:AB17"/>
    <mergeCell ref="AC16:AO16"/>
    <mergeCell ref="AY16:BC16"/>
    <mergeCell ref="BD16:BF16"/>
    <mergeCell ref="BG16:BK16"/>
    <mergeCell ref="BL16:BN16"/>
    <mergeCell ref="BO16:BP16"/>
    <mergeCell ref="BQ16:BS16"/>
    <mergeCell ref="B38:E39"/>
    <mergeCell ref="F38:G38"/>
    <mergeCell ref="H38:O38"/>
    <mergeCell ref="P38:S39"/>
    <mergeCell ref="T38:X39"/>
    <mergeCell ref="AR18:AV18"/>
    <mergeCell ref="BO20:BS20"/>
    <mergeCell ref="CF24:CG24"/>
    <mergeCell ref="CH24:CI24"/>
    <mergeCell ref="CJ24:CK24"/>
    <mergeCell ref="H39:J39"/>
    <mergeCell ref="K39:M39"/>
    <mergeCell ref="BE39:BG39"/>
    <mergeCell ref="BH39:BJ39"/>
    <mergeCell ref="Y38:Y39"/>
    <mergeCell ref="Z38:Z40"/>
    <mergeCell ref="AC38:AN38"/>
    <mergeCell ref="AY38:BB39"/>
    <mergeCell ref="BC38:BD38"/>
    <mergeCell ref="BE38:BL38"/>
    <mergeCell ref="CI47:CJ47"/>
    <mergeCell ref="BM38:BP39"/>
    <mergeCell ref="BQ38:BU39"/>
    <mergeCell ref="BV38:BV39"/>
    <mergeCell ref="BW38:BW40"/>
    <mergeCell ref="BW41:BW42"/>
    <mergeCell ref="BM43:BP43"/>
    <mergeCell ref="BQ43:BU43"/>
    <mergeCell ref="CE47:CF47"/>
    <mergeCell ref="CG47:CH47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田凤娟</dc:creator>
  <cp:lastModifiedBy>周力</cp:lastModifiedBy>
  <dcterms:created xsi:type="dcterms:W3CDTF">2025-12-24T06:51:41Z</dcterms:created>
  <dcterms:modified xsi:type="dcterms:W3CDTF">2025-12-28T06:06:14Z</dcterms:modified>
</cp:coreProperties>
</file>